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82A60E84-451F-4491-AE9B-0024578B91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ndonnées" sheetId="4" r:id="rId1"/>
    <sheet name="Plus beaux endroits" sheetId="8" r:id="rId2"/>
    <sheet name="Sommets" sheetId="7" r:id="rId3"/>
    <sheet name="Wish List" sheetId="6" r:id="rId4"/>
  </sheets>
  <definedNames>
    <definedName name="_xlnm._FilterDatabase" localSheetId="1" hidden="1">'Plus beaux endroits'!$A$1:$D$18</definedName>
    <definedName name="_xlnm._FilterDatabase" localSheetId="0" hidden="1">Randonnées!$A$1:$P$70</definedName>
    <definedName name="_xlnm._FilterDatabase" localSheetId="2" hidden="1">Sommets!$A$1:$B$5</definedName>
    <definedName name="_xlnm._FilterDatabase" localSheetId="3" hidden="1">'Wish List'!$A$1:$F$41</definedName>
    <definedName name="_xlchart.v1.0" hidden="1">Sommets!$B$1</definedName>
    <definedName name="_xlchart.v1.1" hidden="1">Sommets!$B$2:$B$74</definedName>
    <definedName name="_xlchart.v1.2" hidden="1">Sommets!$B$1</definedName>
    <definedName name="_xlchart.v1.3" hidden="1">Sommets!$B$2:$B$74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3" i="4" l="1"/>
  <c r="F84" i="4"/>
  <c r="F85" i="4"/>
  <c r="F86" i="4"/>
  <c r="D30" i="8"/>
  <c r="D29" i="8"/>
  <c r="F81" i="4" l="1"/>
  <c r="F82" i="4"/>
  <c r="D14" i="8"/>
  <c r="F80" i="4" l="1"/>
  <c r="F79" i="4"/>
  <c r="F78" i="4" l="1"/>
  <c r="F77" i="4" l="1"/>
  <c r="F76" i="4" l="1"/>
  <c r="F74" i="4" l="1"/>
  <c r="F75" i="4"/>
  <c r="D13" i="8" l="1"/>
  <c r="F73" i="4" l="1"/>
  <c r="F72" i="4"/>
  <c r="F71" i="4" l="1"/>
  <c r="D12" i="8"/>
  <c r="F70" i="4" l="1"/>
  <c r="F69" i="4"/>
  <c r="D28" i="8" l="1"/>
  <c r="D3" i="8" l="1"/>
  <c r="D4" i="8"/>
  <c r="D6" i="8"/>
  <c r="D7" i="8"/>
  <c r="D8" i="8"/>
  <c r="D9" i="8"/>
  <c r="D10" i="8"/>
  <c r="D11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5" i="8"/>
  <c r="F68" i="4" l="1"/>
  <c r="F67" i="4" l="1"/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6" i="4"/>
  <c r="F37" i="4"/>
  <c r="F38" i="4"/>
  <c r="F39" i="4"/>
  <c r="F40" i="4"/>
  <c r="F41" i="4"/>
  <c r="F42" i="4"/>
  <c r="F43" i="4"/>
  <c r="F44" i="4"/>
  <c r="F45" i="4"/>
  <c r="F3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3" i="4"/>
  <c r="F2" i="4"/>
  <c r="D2" i="8" l="1"/>
</calcChain>
</file>

<file path=xl/sharedStrings.xml><?xml version="1.0" encoding="utf-8"?>
<sst xmlns="http://schemas.openxmlformats.org/spreadsheetml/2006/main" count="1027" uniqueCount="448">
  <si>
    <t>Km</t>
  </si>
  <si>
    <t>Durée</t>
  </si>
  <si>
    <t>Date</t>
  </si>
  <si>
    <t>Lieu</t>
  </si>
  <si>
    <t>Commentaire</t>
  </si>
  <si>
    <t>Itinéraire</t>
  </si>
  <si>
    <t>Nom</t>
  </si>
  <si>
    <t>Massif</t>
  </si>
  <si>
    <t>Localisation</t>
  </si>
  <si>
    <t>Plateau d'Emparis</t>
  </si>
  <si>
    <t>Evian - Novel</t>
  </si>
  <si>
    <t>Col de Voza - Col du Bonhomme</t>
  </si>
  <si>
    <t>GR5 : Evian - Modane</t>
  </si>
  <si>
    <t>Col du Bonhomme - Lac de la Plagne</t>
  </si>
  <si>
    <t>Refuge de l'Arpont - Modane</t>
  </si>
  <si>
    <t>Lac de la Plagne - Refuge de l'Arpont</t>
  </si>
  <si>
    <t>Novel - Les Mattes</t>
  </si>
  <si>
    <t>Névache - Col des Thures A/R</t>
  </si>
  <si>
    <t>D+</t>
  </si>
  <si>
    <t>D-</t>
  </si>
  <si>
    <t>Chablais, Alpes du Nord, France</t>
  </si>
  <si>
    <t>Haut Giffre, Alpes du Nord, France</t>
  </si>
  <si>
    <t>Vanoise, Alpes du Nord, France</t>
  </si>
  <si>
    <t>Lacs de la Clarée : Long, Rond, de la Cula, Laramont et du Serpent</t>
  </si>
  <si>
    <t>Boucle Mont Thabor par le col des Muandes et lac de la Clarée</t>
  </si>
  <si>
    <t>Contexte</t>
  </si>
  <si>
    <t>PB D+</t>
  </si>
  <si>
    <t>PB D-</t>
  </si>
  <si>
    <t>PB Km</t>
  </si>
  <si>
    <t>Les Mattes - Col de la Golèse + Mont de Grange + Pointe de Chesery</t>
  </si>
  <si>
    <t>Col de la Golèse - Col d'Anterne + Tête de Moëde</t>
  </si>
  <si>
    <t>Col d'Anterne - Col de Voza (par le Brévent)</t>
  </si>
  <si>
    <t>Lac Vert &amp; Lac du Lavoir</t>
  </si>
  <si>
    <t>Altitude (m)</t>
  </si>
  <si>
    <t>Mont Thabor</t>
  </si>
  <si>
    <t>Evian</t>
  </si>
  <si>
    <t>Dolomites</t>
  </si>
  <si>
    <t>Vallon de la Leisse</t>
  </si>
  <si>
    <t>Montagne d'Anterne</t>
  </si>
  <si>
    <t>Cerces, Alpes du Sud, France</t>
  </si>
  <si>
    <t>Chesery &amp; Les Hauts-Forts</t>
  </si>
  <si>
    <t>Lac de la Plagne &amp; Col du Palet</t>
  </si>
  <si>
    <t>Pays</t>
  </si>
  <si>
    <t>France</t>
  </si>
  <si>
    <t>Chaîne pyrénéo-provençale</t>
  </si>
  <si>
    <t>Alpes du Nord</t>
  </si>
  <si>
    <t>Alpes du Sud</t>
  </si>
  <si>
    <t>Chaîne</t>
  </si>
  <si>
    <t>Massif des Calanques</t>
  </si>
  <si>
    <t>Montagne Sainte-Victoire</t>
  </si>
  <si>
    <t>Chablais</t>
  </si>
  <si>
    <t>Chablais &amp; Haut Giffre</t>
  </si>
  <si>
    <t>Haut Giffre</t>
  </si>
  <si>
    <t>Aiguilles Rouges &amp; Mont Blanc</t>
  </si>
  <si>
    <t>Mont Blanc &amp; Beaufortain</t>
  </si>
  <si>
    <t>Beaufortain &amp; Vanoise</t>
  </si>
  <si>
    <t>Vanoise</t>
  </si>
  <si>
    <t>Cerces</t>
  </si>
  <si>
    <t>Marseille, Le Puget</t>
  </si>
  <si>
    <t>Marseille, Marseilleveyre</t>
  </si>
  <si>
    <t>Vallée de la Clarée &amp; Mont Thabor</t>
  </si>
  <si>
    <t>Vallée Etroite</t>
  </si>
  <si>
    <t>Modane</t>
  </si>
  <si>
    <t>Chamonix</t>
  </si>
  <si>
    <t>Les Contamines Montjoie</t>
  </si>
  <si>
    <t>Tignes</t>
  </si>
  <si>
    <t>Abondance</t>
  </si>
  <si>
    <t>Châtel</t>
  </si>
  <si>
    <t>Bourg Saint Maurice</t>
  </si>
  <si>
    <t>Samoëns, Sixt Fer-à-Cheval</t>
  </si>
  <si>
    <t>Névache, Vallée de la Clarée</t>
  </si>
  <si>
    <t>Marseille</t>
  </si>
  <si>
    <t>Luminy-Cassis par les falaises du Devenson</t>
  </si>
  <si>
    <t>Mercantour</t>
  </si>
  <si>
    <t>Saint Martin Vésubie, Le Boréon</t>
  </si>
  <si>
    <t>La Madone de Fenestre</t>
  </si>
  <si>
    <t>La Vallée des Merveilles</t>
  </si>
  <si>
    <t>Camp d'Argent, Sospel</t>
  </si>
  <si>
    <t>Saint Martin Vésubie - Refuge de la Cougourde, par la Cime de Piagu</t>
  </si>
  <si>
    <t>Refuge de la cougourde - Refuge de Nice + Cime Ouest de Fenestre + Mont Clapier</t>
  </si>
  <si>
    <t>Col de Turini - Sospel</t>
  </si>
  <si>
    <t>Mont Clapier</t>
  </si>
  <si>
    <t>Tier</t>
  </si>
  <si>
    <t>Les Mattes &amp; le Mont de Grange</t>
  </si>
  <si>
    <t>Vallée de la Clarée</t>
  </si>
  <si>
    <t>Vallée des Merveilles</t>
  </si>
  <si>
    <t>Mercantour, Alpes du Sud, France</t>
  </si>
  <si>
    <t>Mont Blanc, Alpes du Nord, France</t>
  </si>
  <si>
    <t>Col de la Croix du Bonhomme</t>
  </si>
  <si>
    <t>La Cougourde</t>
  </si>
  <si>
    <t>Col &amp; Cime de Fenestre</t>
  </si>
  <si>
    <t>Les Cornettes de Bise</t>
  </si>
  <si>
    <t>Glacier de Bionnassay</t>
  </si>
  <si>
    <t>Z</t>
  </si>
  <si>
    <t>S</t>
  </si>
  <si>
    <t>A</t>
  </si>
  <si>
    <t>Les Calanques</t>
  </si>
  <si>
    <t>Gorges du Verdon</t>
  </si>
  <si>
    <t>Massif de Saint-Cyr</t>
  </si>
  <si>
    <t>Chaîne de l'Estaque</t>
  </si>
  <si>
    <t>La Côte Bleue, Marseille</t>
  </si>
  <si>
    <t>L'Estaque-Niolon par le chemin des Douaniers</t>
  </si>
  <si>
    <t>Niolon-Carry le Rouet</t>
  </si>
  <si>
    <t>Solo</t>
  </si>
  <si>
    <t>Boucle Mont Carpiagne depuis Saint Marcel</t>
  </si>
  <si>
    <t>Refuge de Nice - Col de Turini par la Cime du Diable</t>
  </si>
  <si>
    <t>La Ciotat</t>
  </si>
  <si>
    <t>Boucle Ciotat-Cap Canaille</t>
  </si>
  <si>
    <t>Boucle depuis le col de Sormiou</t>
  </si>
  <si>
    <t>Boucle depuis la Madrague par le GR</t>
  </si>
  <si>
    <t>Ile de Skye</t>
  </si>
  <si>
    <t>Ecosse</t>
  </si>
  <si>
    <t>Alpes Bernoises</t>
  </si>
  <si>
    <t>Suisse</t>
  </si>
  <si>
    <t>Alpes Bavaroises</t>
  </si>
  <si>
    <t>Norvège</t>
  </si>
  <si>
    <t>B</t>
  </si>
  <si>
    <t>Rang</t>
  </si>
  <si>
    <t>Massif des Calanques, France</t>
  </si>
  <si>
    <t>Iles Lofoten</t>
  </si>
  <si>
    <t>Préalpes de Dignes</t>
  </si>
  <si>
    <t>Préalpes de Castellane</t>
  </si>
  <si>
    <t>Moustiers-Sainte-Marie</t>
  </si>
  <si>
    <t>Rougon</t>
  </si>
  <si>
    <t>La Palud sur Verdon</t>
  </si>
  <si>
    <t>Moustier-Rougon par le sentier du Bastidon</t>
  </si>
  <si>
    <t>Rougon-Chalet de la Maline, par le sentier Blanc Martel et l'Imbut</t>
  </si>
  <si>
    <t>Chalet de la Maline-Moustier par le Grand Margès</t>
  </si>
  <si>
    <t>1er trek</t>
  </si>
  <si>
    <t xml:space="preserve">Préalpes de Digne, Alpes du Sud, France </t>
  </si>
  <si>
    <t>La Bigue</t>
  </si>
  <si>
    <t>Le Grand Margès</t>
  </si>
  <si>
    <t>Le Brévent</t>
  </si>
  <si>
    <t>Cime du Diable &amp; Crête de la Poudrière</t>
  </si>
  <si>
    <t>Sisteron, Saint Geniez</t>
  </si>
  <si>
    <t>Thoard</t>
  </si>
  <si>
    <t>Digne-les-Bains</t>
  </si>
  <si>
    <t>Digne-les-Bains, les Terres Noires</t>
  </si>
  <si>
    <t>3eme trek, 1er accompagné</t>
  </si>
  <si>
    <t>Chaussures</t>
  </si>
  <si>
    <t>Scarpa Mojito Trail</t>
  </si>
  <si>
    <t>Sisteron - St Geniez</t>
  </si>
  <si>
    <t>St Geniez - Thoard par le sommet de Vaumuse</t>
  </si>
  <si>
    <t>Thoard - Digne en passant par la Bigue</t>
  </si>
  <si>
    <t>Retour sur Digne</t>
  </si>
  <si>
    <t>Terres Noires, Pas de l'Archail et retour vers Digne par l'Archail</t>
  </si>
  <si>
    <t>PB Alt, 1er 3000m (3172m)</t>
  </si>
  <si>
    <t>Aigle Line 7</t>
  </si>
  <si>
    <t>Quechua Novadry</t>
  </si>
  <si>
    <t>Bardenas</t>
  </si>
  <si>
    <t>Espagne</t>
  </si>
  <si>
    <t>Taillefer</t>
  </si>
  <si>
    <t>Taillefer &amp; Ecrins</t>
  </si>
  <si>
    <t>Ecrins</t>
  </si>
  <si>
    <t>Arves</t>
  </si>
  <si>
    <t>Bourg d'Oisans</t>
  </si>
  <si>
    <t>Venosc &amp; les Deux Alpes</t>
  </si>
  <si>
    <t>Bourg d'Oisans à Commune de la Morte par le refuge du Taillefer</t>
  </si>
  <si>
    <t>Commune de la Morte à Villard Notre Dame par le col d'Ornon et la tête de Louis XVI</t>
  </si>
  <si>
    <t>Villard ND à Mizoen par la lac Lauvitel et les Deux Alpes</t>
  </si>
  <si>
    <t>Mizoen au Chazelet par le Plateau d'Emparis</t>
  </si>
  <si>
    <t>Arves, Alpes du Nord, France</t>
  </si>
  <si>
    <t>Ecrins, Alpes du Nord, France</t>
  </si>
  <si>
    <t>1000km des Scarpas</t>
  </si>
  <si>
    <t>Vercors</t>
  </si>
  <si>
    <t>Corrençon-en-Vercors</t>
  </si>
  <si>
    <t>St-Nizier-du-Moucherotte</t>
  </si>
  <si>
    <t>Villard-de-Lans</t>
  </si>
  <si>
    <t>St-Nizier-du-Moucherotte à un peu avant le col de l'Oeille</t>
  </si>
  <si>
    <t>Col de l'Oeille à la cabanede Carette</t>
  </si>
  <si>
    <t>Cabane De Carette à Corrençon-en-Vercors</t>
  </si>
  <si>
    <t>Vercors, Alpes du Nord, France</t>
  </si>
  <si>
    <t>Massif Central</t>
  </si>
  <si>
    <t>Monts du Lyonnais</t>
  </si>
  <si>
    <t>L'Arbresle, Yzeron, Saint-Martin-d'en-Haut, Saint Chamond</t>
  </si>
  <si>
    <t>De l'Arbresle à Saint Chamond par la Traversée du Rhône et le GR7</t>
  </si>
  <si>
    <t>PB Distance, PB temps</t>
  </si>
  <si>
    <t>Givors</t>
  </si>
  <si>
    <t>Boucle : Combes de Givors et plateau d'Echalas</t>
  </si>
  <si>
    <t>Rochetaillée, Saint-Etienne</t>
  </si>
  <si>
    <t>De Givors au Crêt de l'Oeillon</t>
  </si>
  <si>
    <t>Du Crêt de l'Oeillon à Saint Etienne par la crête</t>
  </si>
  <si>
    <t>Traversée des Monts du Lyonnais</t>
  </si>
  <si>
    <t>Les Terres Noires</t>
  </si>
  <si>
    <t>Lac Lauvitel</t>
  </si>
  <si>
    <t>Petite et Grande Moucherolle &amp; Pas de l'Oeille</t>
  </si>
  <si>
    <t>Pilat</t>
  </si>
  <si>
    <t>Devoluy</t>
  </si>
  <si>
    <t>Pellafol</t>
  </si>
  <si>
    <t>Traversée Est-Ouest de l'Obiou</t>
  </si>
  <si>
    <t>Tour de l'Obiou par le Nord</t>
  </si>
  <si>
    <t>L'Aiguille</t>
  </si>
  <si>
    <t>Obiou</t>
  </si>
  <si>
    <t>Devoluy, Alpes du Nord, France</t>
  </si>
  <si>
    <t>Mont Ventoux</t>
  </si>
  <si>
    <t>Compagnie</t>
  </si>
  <si>
    <t>JM</t>
  </si>
  <si>
    <t>JM, MF, Flavie</t>
  </si>
  <si>
    <t>Xav, Thomas</t>
  </si>
  <si>
    <t>Bakri, Flavie…</t>
  </si>
  <si>
    <t>Maman</t>
  </si>
  <si>
    <t>Vacances Névache</t>
  </si>
  <si>
    <t>JM, Damien</t>
  </si>
  <si>
    <t>Tour des Gorges du Verdon</t>
  </si>
  <si>
    <t>JM, Bakri</t>
  </si>
  <si>
    <t>Thomas</t>
  </si>
  <si>
    <t>Apo</t>
  </si>
  <si>
    <t>Mathieu</t>
  </si>
  <si>
    <t>GR70 : Chemin de Stevenson</t>
  </si>
  <si>
    <t>Cévennes</t>
  </si>
  <si>
    <t>Du Puy à Monastier sur Gazeille</t>
  </si>
  <si>
    <t>Puy en Velay, Monastier sur Gazeille</t>
  </si>
  <si>
    <t>De Monastier à Pradelles</t>
  </si>
  <si>
    <t>De Pradelle à Notre Dame des Neiges</t>
  </si>
  <si>
    <t>De Notre Dame des Neiges au Mont Lozère</t>
  </si>
  <si>
    <t>Du Mont Lozère à St Julien d'Arpaon</t>
  </si>
  <si>
    <t>De Saint Julien d'Arpaon à Saint Jean du Gard</t>
  </si>
  <si>
    <t>De Saint Jean du Gard à Alès</t>
  </si>
  <si>
    <t>Goudet, Bouchet St Nicolas, Landos, Pradelles</t>
  </si>
  <si>
    <t>Langogne, Cheylard L'eveque</t>
  </si>
  <si>
    <t>La Bastide Puylaurent, Chasseradès, Le Bleymard</t>
  </si>
  <si>
    <t>Le Pont de Monvert, Florac, Saint Julien d'Arpaon</t>
  </si>
  <si>
    <t>Saint Germain de Calberte, Saint Etienne Vallée Française, Saint Jean du Gard</t>
  </si>
  <si>
    <t>Alès</t>
  </si>
  <si>
    <t>Mont Lozère</t>
  </si>
  <si>
    <t>Massif Central, Cévennes, France</t>
  </si>
  <si>
    <t>Boucle depuis la Madrague en passant par le pas de la demi lune</t>
  </si>
  <si>
    <t>1500km des Scarpas</t>
  </si>
  <si>
    <t>Bornes</t>
  </si>
  <si>
    <t>Annecy</t>
  </si>
  <si>
    <t>Mont Veyrier en boucle depuis Annecy</t>
  </si>
  <si>
    <t>Hardergrat Trail</t>
  </si>
  <si>
    <t>Lowa Renegade</t>
  </si>
  <si>
    <t>Jura</t>
  </si>
  <si>
    <t>Ambérieu en Bugey</t>
  </si>
  <si>
    <t>Circuit des 4 Chateaux et Mont Luisange</t>
  </si>
  <si>
    <t>La Grande Sure</t>
  </si>
  <si>
    <t>GR54 - Tour des Ecrins</t>
  </si>
  <si>
    <t>GR9 - Traversée de la Chartreuse</t>
  </si>
  <si>
    <t>GR10 - Pyrénées</t>
  </si>
  <si>
    <t>TMB - Tour du Mont Blanc</t>
  </si>
  <si>
    <t>TGV - Tour des Glaciers de la Vanoise</t>
  </si>
  <si>
    <t>GR58 - Tour du Queyras</t>
  </si>
  <si>
    <t>GRP - Tour de Chambeyron</t>
  </si>
  <si>
    <t>GRP - Tour du Beaufortain</t>
  </si>
  <si>
    <t>GR20 - Corse</t>
  </si>
  <si>
    <t>GR738 - Haute Traversée de Belledone</t>
  </si>
  <si>
    <t>KmEff</t>
  </si>
  <si>
    <t>GR52 : St-Martin-Vésubie - Sospel</t>
  </si>
  <si>
    <t>GTPA : Sisteron - Digne</t>
  </si>
  <si>
    <t>Traversée du Vercors : Saint-Nizier - Corrençon</t>
  </si>
  <si>
    <t>Chartreuse</t>
  </si>
  <si>
    <t>Grenoble</t>
  </si>
  <si>
    <t>Aller-retour Bastile - Fort du Saint-Eynard</t>
  </si>
  <si>
    <t>Tour du Plateau d'Emparis</t>
  </si>
  <si>
    <t>Mont Saint Eynard</t>
  </si>
  <si>
    <t>Chartreuse, Alpes du Nord, France</t>
  </si>
  <si>
    <t>D</t>
  </si>
  <si>
    <t>Alt Max</t>
  </si>
  <si>
    <t>Tour du Lac d'Annecy</t>
  </si>
  <si>
    <t>Voreppe</t>
  </si>
  <si>
    <t>Voreppe - Monastère de Chalais</t>
  </si>
  <si>
    <t>3000 Haut Giffre : Mont Buet</t>
  </si>
  <si>
    <t>3000 Vanoise : Pointe des Fours, Mont Bréquin, Râteau d'Aussois, Ouille Noire</t>
  </si>
  <si>
    <t>3000 Mont Cenis : Signal du Petit Mont Cenis</t>
  </si>
  <si>
    <t>3000 Pelat : Mont Pelat</t>
  </si>
  <si>
    <t>3000 Escreins : Point d'Escreins</t>
  </si>
  <si>
    <t>3000 Cerces : Mont Chaberton, Pointe des Cerces, Grand Galibier</t>
  </si>
  <si>
    <t>3000 Queyras : Pain de Sucre, Mortice, Pic de la Farneireta</t>
  </si>
  <si>
    <t>3000 Chambeyron : Tête de Fréma, Pointe d'Aval ou de Chauvet</t>
  </si>
  <si>
    <t>3000 Ecrins : Vieux Chaillol</t>
  </si>
  <si>
    <t>3000 Mercantour : Mont Ténibre</t>
  </si>
  <si>
    <t>3000 Arves : Pic du Mas de la Grave</t>
  </si>
  <si>
    <t>GR55 - De Tignes à Modane</t>
  </si>
  <si>
    <t>Le Mont Thabor</t>
  </si>
  <si>
    <t>Le Mont Clapier</t>
  </si>
  <si>
    <t>La Grande Tête de l'Obiou</t>
  </si>
  <si>
    <t>La Cime du Diable</t>
  </si>
  <si>
    <t>Le Bonnet de l'Evêque</t>
  </si>
  <si>
    <t>La Cime Ouest de Fenestre</t>
  </si>
  <si>
    <t>La Tête de Moëde</t>
  </si>
  <si>
    <t>Le Mont de Grange</t>
  </si>
  <si>
    <t>Le Mont Truc</t>
  </si>
  <si>
    <t>Le Mont Lozère</t>
  </si>
  <si>
    <t>Le Mont Baron</t>
  </si>
  <si>
    <t>Le Mont César</t>
  </si>
  <si>
    <t>Le Montagne du Goulet</t>
  </si>
  <si>
    <t>Le Mont Saint Eynard</t>
  </si>
  <si>
    <t>Le Mont Veyrier</t>
  </si>
  <si>
    <t>Le Mont Rachais</t>
  </si>
  <si>
    <t>Le Montagne Sainte Victoire</t>
  </si>
  <si>
    <t>Le Mont Luisandre</t>
  </si>
  <si>
    <t>Le Mont Carpiagne</t>
  </si>
  <si>
    <t>Le Mont Jalla</t>
  </si>
  <si>
    <t>Le Mont Puget</t>
  </si>
  <si>
    <t>La Cime de Piagu</t>
  </si>
  <si>
    <t>La Pointe de Chavanette</t>
  </si>
  <si>
    <t>La Pointe de la Léchère</t>
  </si>
  <si>
    <t>La Pointe des Trois Communes</t>
  </si>
  <si>
    <t>La Pointe de Chesery</t>
  </si>
  <si>
    <t>La Pointe de Ventabron</t>
  </si>
  <si>
    <t>La Pointe du Midi</t>
  </si>
  <si>
    <t>La Tête de Bellachat</t>
  </si>
  <si>
    <t>La Tête de la Poudrière</t>
  </si>
  <si>
    <t>La Tête de Louis XVI</t>
  </si>
  <si>
    <t>Le Pic Saint-Michel</t>
  </si>
  <si>
    <t>La Grande Moucherolle</t>
  </si>
  <si>
    <t>La Dent d'Oche</t>
  </si>
  <si>
    <t>La Petite Moucherolle</t>
  </si>
  <si>
    <t>Le Roc Cornafion</t>
  </si>
  <si>
    <t>Le Moucherotte</t>
  </si>
  <si>
    <t>Le Mangiabo</t>
  </si>
  <si>
    <t>Le Jenabran</t>
  </si>
  <si>
    <t>Le Sommet de Vaumuse</t>
  </si>
  <si>
    <t>Le Signal de Bougès</t>
  </si>
  <si>
    <t>Le Crêt de la Perdrix</t>
  </si>
  <si>
    <t>Le Crêt de d'Etançon</t>
  </si>
  <si>
    <t>Le Crêt de l'Oeillon</t>
  </si>
  <si>
    <t>Le Crêt de Botte</t>
  </si>
  <si>
    <t>Le Sommet du Corbeau</t>
  </si>
  <si>
    <t>L'Escoudas</t>
  </si>
  <si>
    <t>Le Sommet de Marseilleveyre</t>
  </si>
  <si>
    <t>L'Aiguille de Chalais</t>
  </si>
  <si>
    <t>Le Grand Colombier</t>
  </si>
  <si>
    <t>Le Grand Clombier</t>
  </si>
  <si>
    <t>Jura, France</t>
  </si>
  <si>
    <t>Culoz</t>
  </si>
  <si>
    <t>Le Grand Colombier en boucle depuis Culoz</t>
  </si>
  <si>
    <t>Apo, Magali</t>
  </si>
  <si>
    <t>Avant l'anniv de Yann à Grenoble</t>
  </si>
  <si>
    <t>Rando neige improvisée</t>
  </si>
  <si>
    <t>Test des nouvelles chaussures</t>
  </si>
  <si>
    <t>Lac des Plagnes au refuge des Tinderets par les chalais de Lens</t>
  </si>
  <si>
    <t>Retour en passant par les chalets d'Ardens</t>
  </si>
  <si>
    <t>Haute Route - Chamonix Zermatt</t>
  </si>
  <si>
    <t>Les Aiguilles d'Arves</t>
  </si>
  <si>
    <t>France, Arves</t>
  </si>
  <si>
    <t>France, Cerces</t>
  </si>
  <si>
    <t>France, Chambeyron</t>
  </si>
  <si>
    <t>France, Ecrins</t>
  </si>
  <si>
    <t>France, Escreins</t>
  </si>
  <si>
    <t>France, Haut Giffre</t>
  </si>
  <si>
    <t>France, Mercantour</t>
  </si>
  <si>
    <t>France, Mont Cenis</t>
  </si>
  <si>
    <t>France, Pelat</t>
  </si>
  <si>
    <t>France, Queyras</t>
  </si>
  <si>
    <t>France, Vanoise</t>
  </si>
  <si>
    <t>France, Mont Blanc</t>
  </si>
  <si>
    <t>France, Vercors</t>
  </si>
  <si>
    <t>France, Beaufortain</t>
  </si>
  <si>
    <t>France, Chartreuse</t>
  </si>
  <si>
    <t>France, Belledone</t>
  </si>
  <si>
    <t>France, Corse</t>
  </si>
  <si>
    <t>France, Pyrénées</t>
  </si>
  <si>
    <t>France, Mont de Vaucluse</t>
  </si>
  <si>
    <t>France, Bornes</t>
  </si>
  <si>
    <t>Traversée des Aravis</t>
  </si>
  <si>
    <t>France, Aravis</t>
  </si>
  <si>
    <t>Punta Basei</t>
  </si>
  <si>
    <t>Vallée d'Aoste</t>
  </si>
  <si>
    <t>Italie, Grand Paradis</t>
  </si>
  <si>
    <t>Italie, Dolomites</t>
  </si>
  <si>
    <t>Allemagne/Autriche</t>
  </si>
  <si>
    <t>La Pointe d'Ardens</t>
  </si>
  <si>
    <t>Prio</t>
  </si>
  <si>
    <t>Chalais &amp; Charminelle</t>
  </si>
  <si>
    <t>Raquettes dans le Chablais</t>
  </si>
  <si>
    <t>Taillefer &amp; Emparis</t>
  </si>
  <si>
    <t>L'Obiou</t>
  </si>
  <si>
    <t>Beaujolais</t>
  </si>
  <si>
    <t>Anse</t>
  </si>
  <si>
    <t>Tarare</t>
  </si>
  <si>
    <t>Anse, Jarnioux, Theizé, Moiré</t>
  </si>
  <si>
    <t>Montagne de Tarare</t>
  </si>
  <si>
    <t>Entrainement Ecosse pour Apo</t>
  </si>
  <si>
    <t>Moiré, Oingt, Ternand, Tarare</t>
  </si>
  <si>
    <t>Boucle Gorges du Nan &amp; la lunette de Malleval depuis Cognin</t>
  </si>
  <si>
    <t>Cognin-les-Gorges, Malleval-en-Vercors</t>
  </si>
  <si>
    <t>Apo, Célia</t>
  </si>
  <si>
    <t>Balade avec Daniel</t>
  </si>
  <si>
    <t>Rocher du Baconnet</t>
  </si>
  <si>
    <t>La Lunette</t>
  </si>
  <si>
    <t>Monts d'Or</t>
  </si>
  <si>
    <t>Poleymieux</t>
  </si>
  <si>
    <t>Boucle autour de Poleymieux</t>
  </si>
  <si>
    <t>Balade vélo + rando</t>
  </si>
  <si>
    <t>Le Mont Thou</t>
  </si>
  <si>
    <t>Le Mont Verdun</t>
  </si>
  <si>
    <t>Le Mont Py</t>
  </si>
  <si>
    <t>Désert de Platé</t>
  </si>
  <si>
    <t>Boucle à la croix du Nivolet depuis Chambéry</t>
  </si>
  <si>
    <t>Bauges</t>
  </si>
  <si>
    <t>Chambéry</t>
  </si>
  <si>
    <t>Le Nivolet</t>
  </si>
  <si>
    <t>France, Jura</t>
  </si>
  <si>
    <t>Grand Veymont &amp; Chaumailloux</t>
  </si>
  <si>
    <t>Le Crêt de la Neige (de Bellegarde à Gex)</t>
  </si>
  <si>
    <t>Gorges du Flumen</t>
  </si>
  <si>
    <t>Chaine des Puys</t>
  </si>
  <si>
    <t>France, Massif Central</t>
  </si>
  <si>
    <t>Flaine : Grandes Platières/Tête du Colonney/Désert de Platé, Bout du Monde, Montagne d'Anterne, Lac de Gers</t>
  </si>
  <si>
    <t>Champagny : Col du Palet/Lac de la Plagne, Becca Motta, La Grande Rochette/lac de Blanchets, Col de la Vanoise</t>
  </si>
  <si>
    <t>Aiguille de Chalais et Charminelle</t>
  </si>
  <si>
    <t>Saint Chamond</t>
  </si>
  <si>
    <t>Les Rcohes de Condrieu</t>
  </si>
  <si>
    <t>De Saint Chamond au Crêt de l'Oeillon par le GR7</t>
  </si>
  <si>
    <t>Descente de l'autre côté par les sentiers et le GR65</t>
  </si>
  <si>
    <t>Les Trois Dents</t>
  </si>
  <si>
    <t>Le Pic du Midi</t>
  </si>
  <si>
    <t>Le Crêt du Rachat</t>
  </si>
  <si>
    <t>Le Crêt de la Chèvre</t>
  </si>
  <si>
    <t>Cols d'Hurtières et de la Sure</t>
  </si>
  <si>
    <t>Le Quichat</t>
  </si>
  <si>
    <t>La Pinéa</t>
  </si>
  <si>
    <t>Le Mollard de la Chaleur</t>
  </si>
  <si>
    <t>Le Rocher de Chalves</t>
  </si>
  <si>
    <t>Le Rocher de Lorzier</t>
  </si>
  <si>
    <t>Sarcenas, Grenoble</t>
  </si>
  <si>
    <t>De Voreppe au refuge d'Hurtière + La grande Sure</t>
  </si>
  <si>
    <t>Du refuge à Grenoble par la Pinéa et le Quichat</t>
  </si>
  <si>
    <t>Traversée Ouest-Est du Pilat</t>
  </si>
  <si>
    <t>Traversée du Bas Beaujolais</t>
  </si>
  <si>
    <t>Traversée Nord-Sud du Pilat</t>
  </si>
  <si>
    <t>Le Petit Som</t>
  </si>
  <si>
    <t>Cirque de Saint Meme</t>
  </si>
  <si>
    <t>Col de l'Emeindras</t>
  </si>
  <si>
    <t>Grenoble, Sappey en Chartreuse</t>
  </si>
  <si>
    <t>Saint Pierre de Chartreuse</t>
  </si>
  <si>
    <t>Chambery</t>
  </si>
  <si>
    <t>Saint Pierre d'Entremont</t>
  </si>
  <si>
    <t>De Grenoble au col de l'Emeindra, par le Saint Eynard et le Sappey</t>
  </si>
  <si>
    <t>Jusqu'au Habert de Bovinant par St Pierre en Chartreuse et le Monastère</t>
  </si>
  <si>
    <t>Jusqu'à St Piere d'Entremont avec détour par le cirque de Saint Même</t>
  </si>
  <si>
    <t>Descente à Chambéry</t>
  </si>
  <si>
    <t>07:30;00</t>
  </si>
  <si>
    <t>1er rando neige</t>
  </si>
  <si>
    <t>1er bivouac avec Apo</t>
  </si>
  <si>
    <t>2000 Km, 100K D+</t>
  </si>
  <si>
    <t>10eme trek</t>
  </si>
  <si>
    <t>1er bivouac</t>
  </si>
  <si>
    <t>1er bivouac solo</t>
  </si>
  <si>
    <t>Traversée de la Chartreuse (GRP)</t>
  </si>
  <si>
    <t>1er raquettes</t>
  </si>
  <si>
    <t>500h</t>
  </si>
  <si>
    <t>Type</t>
  </si>
  <si>
    <t>Journée</t>
  </si>
  <si>
    <t>Trek Refuge</t>
  </si>
  <si>
    <t>Trek Bivouac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</si>
</sst>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 SemiCondensed"/>
      <family val="2"/>
    </font>
    <font>
      <sz val="12"/>
      <color theme="1"/>
      <name val="Bahnschrift SemiCondensed"/>
      <family val="2"/>
    </font>
    <font>
      <b/>
      <sz val="14"/>
      <color theme="1"/>
      <name val="Bahnschrift SemiBold"/>
      <family val="2"/>
    </font>
    <font>
      <sz val="14"/>
      <color theme="1"/>
      <name val="Bahnschrift SemiCondensed"/>
      <family val="2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164" fontId="0" fillId="0" borderId="1" xfId="0" applyNumberFormat="1" applyBorder="1" applyAlignment="1">
      <alignment horizontal="right"/>
    </xf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5" xfId="0" applyFont="1" applyBorder="1"/>
    <xf numFmtId="3" fontId="0" fillId="0" borderId="2" xfId="0" applyNumberFormat="1" applyBorder="1"/>
    <xf numFmtId="0" fontId="0" fillId="0" borderId="2" xfId="0" applyBorder="1" applyAlignment="1">
      <alignment wrapText="1"/>
    </xf>
    <xf numFmtId="0" fontId="2" fillId="2" borderId="3" xfId="0" applyFont="1" applyFill="1" applyBorder="1" applyAlignment="1">
      <alignment horizontal="center"/>
    </xf>
    <xf numFmtId="0" fontId="4" fillId="0" borderId="0" xfId="0" applyFont="1"/>
    <xf numFmtId="0" fontId="4" fillId="2" borderId="7" xfId="0" applyFont="1" applyFill="1" applyBorder="1"/>
    <xf numFmtId="0" fontId="4" fillId="2" borderId="3" xfId="0" applyFont="1" applyFill="1" applyBorder="1"/>
    <xf numFmtId="0" fontId="5" fillId="0" borderId="2" xfId="0" applyFont="1" applyBorder="1"/>
    <xf numFmtId="14" fontId="0" fillId="3" borderId="2" xfId="0" applyNumberFormat="1" applyFill="1" applyBorder="1"/>
    <xf numFmtId="3" fontId="0" fillId="3" borderId="2" xfId="0" applyNumberFormat="1" applyFill="1" applyBorder="1"/>
    <xf numFmtId="164" fontId="0" fillId="3" borderId="1" xfId="0" applyNumberFormat="1" applyFill="1" applyBorder="1" applyAlignment="1">
      <alignment horizontal="right"/>
    </xf>
    <xf numFmtId="0" fontId="0" fillId="3" borderId="2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2" xfId="0" applyNumberFormat="1" applyFill="1" applyBorder="1" applyAlignment="1">
      <alignment wrapText="1"/>
    </xf>
    <xf numFmtId="164" fontId="0" fillId="0" borderId="1" xfId="0" applyNumberFormat="1" applyFill="1" applyBorder="1" applyAlignment="1">
      <alignment horizontal="right" wrapText="1"/>
    </xf>
    <xf numFmtId="0" fontId="0" fillId="0" borderId="0" xfId="0" applyFill="1" applyAlignment="1">
      <alignment wrapText="1"/>
    </xf>
    <xf numFmtId="164" fontId="0" fillId="0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 wrapText="1"/>
    </xf>
    <xf numFmtId="164" fontId="0" fillId="3" borderId="1" xfId="0" applyNumberFormat="1" applyFill="1" applyBorder="1" applyAlignment="1">
      <alignment horizontal="right" wrapText="1"/>
    </xf>
    <xf numFmtId="0" fontId="3" fillId="2" borderId="6" xfId="0" applyFont="1" applyFill="1" applyBorder="1" applyAlignment="1">
      <alignment horizontal="left" vertical="center"/>
    </xf>
    <xf numFmtId="3" fontId="3" fillId="2" borderId="3" xfId="0" applyNumberFormat="1" applyFont="1" applyFill="1" applyBorder="1" applyAlignment="1">
      <alignment horizontal="left" vertical="center"/>
    </xf>
    <xf numFmtId="164" fontId="3" fillId="2" borderId="4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wrapText="1"/>
    </xf>
    <xf numFmtId="164" fontId="3" fillId="2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3" fillId="2" borderId="3" xfId="0" applyNumberFormat="1" applyFont="1" applyFill="1" applyBorder="1" applyAlignment="1">
      <alignment horizontal="left" vertical="center"/>
    </xf>
    <xf numFmtId="165" fontId="0" fillId="0" borderId="2" xfId="0" applyNumberFormat="1" applyBorder="1"/>
    <xf numFmtId="165" fontId="0" fillId="3" borderId="2" xfId="0" applyNumberFormat="1" applyFill="1" applyBorder="1"/>
    <xf numFmtId="14" fontId="0" fillId="0" borderId="2" xfId="0" applyNumberFormat="1" applyFill="1" applyBorder="1"/>
    <xf numFmtId="165" fontId="0" fillId="0" borderId="2" xfId="0" applyNumberFormat="1" applyFill="1" applyBorder="1"/>
    <xf numFmtId="3" fontId="0" fillId="0" borderId="2" xfId="0" applyNumberForma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1" fillId="4" borderId="0" xfId="0" applyFont="1" applyFill="1" applyBorder="1"/>
    <xf numFmtId="0" fontId="1" fillId="5" borderId="0" xfId="0" applyFont="1" applyFill="1" applyBorder="1"/>
    <xf numFmtId="14" fontId="0" fillId="3" borderId="2" xfId="0" applyNumberFormat="1" applyFill="1" applyBorder="1" applyAlignment="1">
      <alignment wrapText="1"/>
    </xf>
    <xf numFmtId="165" fontId="0" fillId="3" borderId="2" xfId="0" applyNumberFormat="1" applyFill="1" applyBorder="1" applyAlignment="1">
      <alignment wrapText="1"/>
    </xf>
    <xf numFmtId="3" fontId="0" fillId="3" borderId="2" xfId="0" applyNumberFormat="1" applyFill="1" applyBorder="1" applyAlignment="1">
      <alignment wrapText="1"/>
    </xf>
    <xf numFmtId="14" fontId="0" fillId="6" borderId="2" xfId="0" applyNumberFormat="1" applyFill="1" applyBorder="1"/>
    <xf numFmtId="165" fontId="0" fillId="6" borderId="2" xfId="0" applyNumberFormat="1" applyFill="1" applyBorder="1"/>
    <xf numFmtId="3" fontId="0" fillId="6" borderId="2" xfId="0" applyNumberFormat="1" applyFill="1" applyBorder="1"/>
    <xf numFmtId="164" fontId="0" fillId="6" borderId="1" xfId="0" applyNumberFormat="1" applyFill="1" applyBorder="1" applyAlignment="1">
      <alignment horizontal="right"/>
    </xf>
    <xf numFmtId="164" fontId="0" fillId="6" borderId="1" xfId="0" applyNumberFormat="1" applyFill="1" applyBorder="1" applyAlignment="1">
      <alignment horizontal="right" wrapText="1"/>
    </xf>
    <xf numFmtId="0" fontId="0" fillId="6" borderId="2" xfId="0" applyFill="1" applyBorder="1" applyAlignment="1">
      <alignment wrapText="1"/>
    </xf>
  </cellXfs>
  <cellStyles count="1">
    <cellStyle name="Normal" xfId="0" builtinId="0"/>
  </cellStyles>
  <dxfs count="5"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FFF99"/>
      <color rgb="FFC3E7CE"/>
      <color rgb="FFE1C4B9"/>
      <color rgb="FFDDA89F"/>
      <color rgb="FFDDEEEF"/>
      <color rgb="FFFF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521C195A-0735-4029-B209-826922D9CC40}">
          <cx:tx>
            <cx:txData>
              <cx:f>_xlchart.v1.2</cx:f>
              <cx:v>Altitude (m)</cx:v>
            </cx:txData>
          </cx:tx>
          <cx:dataLabels>
            <cx:visibility seriesName="0" categoryName="0" value="1"/>
          </cx:dataLabels>
          <cx:dataId val="0"/>
          <cx:layoutPr>
            <cx:binning intervalClosed="r" underflow="500" overflow="3000">
              <cx:binSize val="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4</xdr:row>
      <xdr:rowOff>100012</xdr:rowOff>
    </xdr:from>
    <xdr:to>
      <xdr:col>10</xdr:col>
      <xdr:colOff>561975</xdr:colOff>
      <xdr:row>18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172EA161-DA22-4ECC-8F00-14559CC27E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862012"/>
              <a:ext cx="54768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zoomScale="70" zoomScaleNormal="70" workbookViewId="0">
      <pane ySplit="1" topLeftCell="A53" activePane="bottomLeft" state="frozen"/>
      <selection pane="bottomLeft" activeCell="A86" sqref="A86"/>
    </sheetView>
  </sheetViews>
  <sheetFormatPr baseColWidth="10" defaultRowHeight="15" x14ac:dyDescent="0.25"/>
  <cols>
    <col min="1" max="1" width="12.42578125" style="1" bestFit="1" customWidth="1"/>
    <col min="2" max="2" width="8.28515625" style="34" customWidth="1"/>
    <col min="3" max="3" width="7.5703125" style="8" customWidth="1"/>
    <col min="4" max="4" width="7.5703125" style="8" bestFit="1" customWidth="1"/>
    <col min="5" max="5" width="11.7109375" style="2" bestFit="1" customWidth="1"/>
    <col min="6" max="6" width="11.5703125" style="34" bestFit="1" customWidth="1"/>
    <col min="7" max="7" width="18.42578125" style="2" customWidth="1"/>
    <col min="8" max="8" width="9" style="2" bestFit="1" customWidth="1"/>
    <col min="9" max="9" width="24.28515625" style="2" customWidth="1"/>
    <col min="10" max="10" width="27.28515625" style="2" customWidth="1"/>
    <col min="11" max="11" width="29.7109375" style="24" bestFit="1" customWidth="1"/>
    <col min="12" max="12" width="57.7109375" style="9" customWidth="1"/>
    <col min="13" max="13" width="29.7109375" style="9" bestFit="1" customWidth="1"/>
    <col min="14" max="14" width="22.140625" style="9" customWidth="1"/>
    <col min="15" max="15" width="17.5703125" style="9" bestFit="1" customWidth="1"/>
    <col min="16" max="16" width="23.7109375" style="9" bestFit="1" customWidth="1"/>
  </cols>
  <sheetData>
    <row r="1" spans="1:16" s="32" customFormat="1" ht="18.75" thickBot="1" x14ac:dyDescent="0.3">
      <c r="A1" s="26" t="s">
        <v>2</v>
      </c>
      <c r="B1" s="33" t="s">
        <v>0</v>
      </c>
      <c r="C1" s="27" t="s">
        <v>18</v>
      </c>
      <c r="D1" s="27" t="s">
        <v>19</v>
      </c>
      <c r="E1" s="28" t="s">
        <v>1</v>
      </c>
      <c r="F1" s="33" t="s">
        <v>247</v>
      </c>
      <c r="G1" s="28" t="s">
        <v>139</v>
      </c>
      <c r="H1" s="29" t="s">
        <v>42</v>
      </c>
      <c r="I1" s="29" t="s">
        <v>47</v>
      </c>
      <c r="J1" s="29" t="s">
        <v>7</v>
      </c>
      <c r="K1" s="30" t="s">
        <v>3</v>
      </c>
      <c r="L1" s="31" t="s">
        <v>5</v>
      </c>
      <c r="M1" s="31" t="s">
        <v>25</v>
      </c>
      <c r="N1" s="31" t="s">
        <v>444</v>
      </c>
      <c r="O1" s="31" t="s">
        <v>195</v>
      </c>
      <c r="P1" s="31" t="s">
        <v>4</v>
      </c>
    </row>
    <row r="2" spans="1:16" x14ac:dyDescent="0.25">
      <c r="A2" s="36">
        <v>44997</v>
      </c>
      <c r="B2" s="37">
        <v>16.809999999999999</v>
      </c>
      <c r="C2" s="38">
        <v>983</v>
      </c>
      <c r="D2" s="38">
        <v>983</v>
      </c>
      <c r="E2" s="23">
        <v>0.15972222222222224</v>
      </c>
      <c r="F2" s="37">
        <f t="shared" ref="F2:F33" si="0">B2+C2/100+D2/300</f>
        <v>29.916666666666668</v>
      </c>
      <c r="G2" s="23" t="s">
        <v>148</v>
      </c>
      <c r="H2" s="23" t="s">
        <v>43</v>
      </c>
      <c r="I2" s="23" t="s">
        <v>44</v>
      </c>
      <c r="J2" s="23" t="s">
        <v>48</v>
      </c>
      <c r="K2" s="21" t="s">
        <v>71</v>
      </c>
      <c r="L2" s="19"/>
      <c r="M2" s="19"/>
      <c r="N2" s="19" t="s">
        <v>445</v>
      </c>
      <c r="O2" s="19" t="s">
        <v>103</v>
      </c>
      <c r="P2" s="19"/>
    </row>
    <row r="3" spans="1:16" x14ac:dyDescent="0.25">
      <c r="A3" s="15">
        <v>45010</v>
      </c>
      <c r="B3" s="35">
        <v>39.5</v>
      </c>
      <c r="C3" s="16">
        <v>2240</v>
      </c>
      <c r="D3" s="16">
        <v>2240</v>
      </c>
      <c r="E3" s="17">
        <v>0.4375</v>
      </c>
      <c r="F3" s="35">
        <f t="shared" si="0"/>
        <v>69.36666666666666</v>
      </c>
      <c r="G3" s="17" t="s">
        <v>140</v>
      </c>
      <c r="H3" s="17" t="s">
        <v>43</v>
      </c>
      <c r="I3" s="17" t="s">
        <v>44</v>
      </c>
      <c r="J3" s="17" t="s">
        <v>48</v>
      </c>
      <c r="K3" s="25" t="s">
        <v>71</v>
      </c>
      <c r="L3" s="18"/>
      <c r="M3" s="18"/>
      <c r="N3" s="18" t="s">
        <v>445</v>
      </c>
      <c r="O3" s="18" t="s">
        <v>103</v>
      </c>
      <c r="P3" s="18"/>
    </row>
    <row r="4" spans="1:16" x14ac:dyDescent="0.25">
      <c r="A4" s="36">
        <v>45011</v>
      </c>
      <c r="B4" s="37">
        <v>12.55</v>
      </c>
      <c r="C4" s="38">
        <v>537</v>
      </c>
      <c r="D4" s="38">
        <v>537</v>
      </c>
      <c r="E4" s="23">
        <v>0.15972222222222224</v>
      </c>
      <c r="F4" s="37">
        <f t="shared" si="0"/>
        <v>19.71</v>
      </c>
      <c r="G4" s="23" t="s">
        <v>140</v>
      </c>
      <c r="H4" s="23" t="s">
        <v>43</v>
      </c>
      <c r="I4" s="23" t="s">
        <v>44</v>
      </c>
      <c r="J4" s="23" t="s">
        <v>48</v>
      </c>
      <c r="K4" s="21" t="s">
        <v>58</v>
      </c>
      <c r="L4" s="19"/>
      <c r="M4" s="19"/>
      <c r="N4" s="19" t="s">
        <v>445</v>
      </c>
      <c r="O4" s="19" t="s">
        <v>197</v>
      </c>
      <c r="P4" s="19"/>
    </row>
    <row r="5" spans="1:16" x14ac:dyDescent="0.25">
      <c r="A5" s="15">
        <v>45017</v>
      </c>
      <c r="B5" s="35">
        <v>17.32</v>
      </c>
      <c r="C5" s="16">
        <v>834</v>
      </c>
      <c r="D5" s="16">
        <v>834</v>
      </c>
      <c r="E5" s="17">
        <v>0.25</v>
      </c>
      <c r="F5" s="35">
        <f t="shared" si="0"/>
        <v>28.44</v>
      </c>
      <c r="G5" s="17" t="s">
        <v>148</v>
      </c>
      <c r="H5" s="17" t="s">
        <v>43</v>
      </c>
      <c r="I5" s="17" t="s">
        <v>44</v>
      </c>
      <c r="J5" s="17" t="s">
        <v>48</v>
      </c>
      <c r="K5" s="25" t="s">
        <v>71</v>
      </c>
      <c r="L5" s="18"/>
      <c r="M5" s="18"/>
      <c r="N5" s="18" t="s">
        <v>445</v>
      </c>
      <c r="O5" s="18" t="s">
        <v>198</v>
      </c>
      <c r="P5" s="18"/>
    </row>
    <row r="6" spans="1:16" x14ac:dyDescent="0.25">
      <c r="A6" s="36">
        <v>45038</v>
      </c>
      <c r="B6" s="37">
        <v>15</v>
      </c>
      <c r="C6" s="38">
        <v>800</v>
      </c>
      <c r="D6" s="38">
        <v>800</v>
      </c>
      <c r="E6" s="23">
        <v>0.25</v>
      </c>
      <c r="F6" s="37">
        <f t="shared" si="0"/>
        <v>25.666666666666668</v>
      </c>
      <c r="G6" s="23" t="s">
        <v>147</v>
      </c>
      <c r="H6" s="23" t="s">
        <v>43</v>
      </c>
      <c r="I6" s="23" t="s">
        <v>44</v>
      </c>
      <c r="J6" s="23" t="s">
        <v>49</v>
      </c>
      <c r="K6" s="21"/>
      <c r="L6" s="19"/>
      <c r="M6" s="19"/>
      <c r="N6" s="19" t="s">
        <v>445</v>
      </c>
      <c r="O6" s="19" t="s">
        <v>199</v>
      </c>
      <c r="P6" s="19"/>
    </row>
    <row r="7" spans="1:16" x14ac:dyDescent="0.25">
      <c r="A7" s="15">
        <v>45039</v>
      </c>
      <c r="B7" s="35">
        <v>18.5</v>
      </c>
      <c r="C7" s="16">
        <v>917</v>
      </c>
      <c r="D7" s="16">
        <v>917</v>
      </c>
      <c r="E7" s="17">
        <v>0.1875</v>
      </c>
      <c r="F7" s="35">
        <f t="shared" si="0"/>
        <v>30.726666666666667</v>
      </c>
      <c r="G7" s="17" t="s">
        <v>140</v>
      </c>
      <c r="H7" s="17" t="s">
        <v>43</v>
      </c>
      <c r="I7" s="17" t="s">
        <v>44</v>
      </c>
      <c r="J7" s="17" t="s">
        <v>48</v>
      </c>
      <c r="K7" s="25" t="s">
        <v>71</v>
      </c>
      <c r="L7" s="18"/>
      <c r="M7" s="18"/>
      <c r="N7" s="18" t="s">
        <v>445</v>
      </c>
      <c r="O7" s="18" t="s">
        <v>103</v>
      </c>
      <c r="P7" s="18"/>
    </row>
    <row r="8" spans="1:16" x14ac:dyDescent="0.25">
      <c r="A8" s="36">
        <v>45060</v>
      </c>
      <c r="B8" s="37">
        <v>18.02</v>
      </c>
      <c r="C8" s="38">
        <v>980</v>
      </c>
      <c r="D8" s="38">
        <v>980</v>
      </c>
      <c r="E8" s="23">
        <v>0.1875</v>
      </c>
      <c r="F8" s="37">
        <f t="shared" si="0"/>
        <v>31.086666666666666</v>
      </c>
      <c r="G8" s="23" t="s">
        <v>140</v>
      </c>
      <c r="H8" s="23" t="s">
        <v>43</v>
      </c>
      <c r="I8" s="23" t="s">
        <v>44</v>
      </c>
      <c r="J8" s="23" t="s">
        <v>48</v>
      </c>
      <c r="K8" s="21" t="s">
        <v>71</v>
      </c>
      <c r="L8" s="19"/>
      <c r="M8" s="19"/>
      <c r="N8" s="19" t="s">
        <v>445</v>
      </c>
      <c r="O8" s="19" t="s">
        <v>103</v>
      </c>
      <c r="P8" s="19"/>
    </row>
    <row r="9" spans="1:16" x14ac:dyDescent="0.25">
      <c r="A9" s="15">
        <v>45073</v>
      </c>
      <c r="B9" s="35">
        <v>30.5</v>
      </c>
      <c r="C9" s="16">
        <v>2004</v>
      </c>
      <c r="D9" s="16">
        <v>2004</v>
      </c>
      <c r="E9" s="17">
        <v>0.34722222222222227</v>
      </c>
      <c r="F9" s="35">
        <f t="shared" si="0"/>
        <v>57.22</v>
      </c>
      <c r="G9" s="17" t="s">
        <v>140</v>
      </c>
      <c r="H9" s="17" t="s">
        <v>43</v>
      </c>
      <c r="I9" s="17" t="s">
        <v>44</v>
      </c>
      <c r="J9" s="17" t="s">
        <v>48</v>
      </c>
      <c r="K9" s="25" t="s">
        <v>59</v>
      </c>
      <c r="L9" s="18"/>
      <c r="M9" s="18"/>
      <c r="N9" s="18" t="s">
        <v>445</v>
      </c>
      <c r="O9" s="18" t="s">
        <v>103</v>
      </c>
      <c r="P9" s="18"/>
    </row>
    <row r="10" spans="1:16" x14ac:dyDescent="0.25">
      <c r="A10" s="36">
        <v>45074</v>
      </c>
      <c r="B10" s="37">
        <v>13</v>
      </c>
      <c r="C10" s="38">
        <v>583</v>
      </c>
      <c r="D10" s="38">
        <v>583</v>
      </c>
      <c r="E10" s="23">
        <v>0.125</v>
      </c>
      <c r="F10" s="37">
        <f t="shared" si="0"/>
        <v>20.773333333333333</v>
      </c>
      <c r="G10" s="23" t="s">
        <v>140</v>
      </c>
      <c r="H10" s="23" t="s">
        <v>43</v>
      </c>
      <c r="I10" s="23" t="s">
        <v>44</v>
      </c>
      <c r="J10" s="23" t="s">
        <v>48</v>
      </c>
      <c r="K10" s="21" t="s">
        <v>59</v>
      </c>
      <c r="L10" s="19"/>
      <c r="M10" s="19"/>
      <c r="N10" s="19" t="s">
        <v>445</v>
      </c>
      <c r="O10" s="19" t="s">
        <v>196</v>
      </c>
      <c r="P10" s="19"/>
    </row>
    <row r="11" spans="1:16" x14ac:dyDescent="0.25">
      <c r="A11" s="15">
        <v>45080</v>
      </c>
      <c r="B11" s="35">
        <v>4.5</v>
      </c>
      <c r="C11" s="16">
        <v>550</v>
      </c>
      <c r="D11" s="16">
        <v>550</v>
      </c>
      <c r="E11" s="17">
        <v>8.3333333333333329E-2</v>
      </c>
      <c r="F11" s="35">
        <f t="shared" si="0"/>
        <v>11.833333333333334</v>
      </c>
      <c r="G11" s="17" t="s">
        <v>140</v>
      </c>
      <c r="H11" s="17" t="s">
        <v>43</v>
      </c>
      <c r="I11" s="17" t="s">
        <v>44</v>
      </c>
      <c r="J11" s="17" t="s">
        <v>48</v>
      </c>
      <c r="K11" s="25" t="s">
        <v>58</v>
      </c>
      <c r="L11" s="18"/>
      <c r="M11" s="18"/>
      <c r="N11" s="18" t="s">
        <v>445</v>
      </c>
      <c r="O11" s="18" t="s">
        <v>103</v>
      </c>
      <c r="P11" s="18"/>
    </row>
    <row r="12" spans="1:16" x14ac:dyDescent="0.25">
      <c r="A12" s="46">
        <v>45108</v>
      </c>
      <c r="B12" s="47">
        <v>23.3</v>
      </c>
      <c r="C12" s="48">
        <v>1393</v>
      </c>
      <c r="D12" s="48">
        <v>854</v>
      </c>
      <c r="E12" s="49">
        <v>0.29166666666666669</v>
      </c>
      <c r="F12" s="47">
        <f t="shared" si="0"/>
        <v>40.076666666666668</v>
      </c>
      <c r="G12" s="49" t="s">
        <v>140</v>
      </c>
      <c r="H12" s="49" t="s">
        <v>43</v>
      </c>
      <c r="I12" s="49" t="s">
        <v>45</v>
      </c>
      <c r="J12" s="49" t="s">
        <v>50</v>
      </c>
      <c r="K12" s="50" t="s">
        <v>35</v>
      </c>
      <c r="L12" s="51" t="s">
        <v>10</v>
      </c>
      <c r="M12" s="51" t="s">
        <v>12</v>
      </c>
      <c r="N12" s="51" t="s">
        <v>446</v>
      </c>
      <c r="O12" s="51" t="s">
        <v>103</v>
      </c>
      <c r="P12" s="51" t="s">
        <v>128</v>
      </c>
    </row>
    <row r="13" spans="1:16" x14ac:dyDescent="0.25">
      <c r="A13" s="46">
        <v>45109</v>
      </c>
      <c r="B13" s="47">
        <v>20.3</v>
      </c>
      <c r="C13" s="48">
        <v>2319</v>
      </c>
      <c r="D13" s="48">
        <v>1355</v>
      </c>
      <c r="E13" s="49">
        <v>0.26041666666666669</v>
      </c>
      <c r="F13" s="47">
        <f t="shared" si="0"/>
        <v>48.006666666666668</v>
      </c>
      <c r="G13" s="49" t="s">
        <v>140</v>
      </c>
      <c r="H13" s="49" t="s">
        <v>43</v>
      </c>
      <c r="I13" s="49" t="s">
        <v>45</v>
      </c>
      <c r="J13" s="49" t="s">
        <v>50</v>
      </c>
      <c r="K13" s="50" t="s">
        <v>66</v>
      </c>
      <c r="L13" s="51" t="s">
        <v>16</v>
      </c>
      <c r="M13" s="51" t="s">
        <v>12</v>
      </c>
      <c r="N13" s="51" t="s">
        <v>446</v>
      </c>
      <c r="O13" s="51" t="s">
        <v>103</v>
      </c>
      <c r="P13" s="51" t="s">
        <v>26</v>
      </c>
    </row>
    <row r="14" spans="1:16" ht="30" x14ac:dyDescent="0.25">
      <c r="A14" s="46">
        <v>45110</v>
      </c>
      <c r="B14" s="47">
        <v>35.200000000000003</v>
      </c>
      <c r="C14" s="48">
        <v>2001</v>
      </c>
      <c r="D14" s="48">
        <v>2218</v>
      </c>
      <c r="E14" s="49">
        <v>0.38541666666666669</v>
      </c>
      <c r="F14" s="47">
        <f t="shared" si="0"/>
        <v>62.603333333333339</v>
      </c>
      <c r="G14" s="49" t="s">
        <v>140</v>
      </c>
      <c r="H14" s="49" t="s">
        <v>43</v>
      </c>
      <c r="I14" s="49" t="s">
        <v>45</v>
      </c>
      <c r="J14" s="49" t="s">
        <v>51</v>
      </c>
      <c r="K14" s="50" t="s">
        <v>67</v>
      </c>
      <c r="L14" s="51" t="s">
        <v>29</v>
      </c>
      <c r="M14" s="51" t="s">
        <v>12</v>
      </c>
      <c r="N14" s="51" t="s">
        <v>446</v>
      </c>
      <c r="O14" s="51" t="s">
        <v>103</v>
      </c>
      <c r="P14" s="51"/>
    </row>
    <row r="15" spans="1:16" x14ac:dyDescent="0.25">
      <c r="A15" s="46">
        <v>45111</v>
      </c>
      <c r="B15" s="47">
        <v>32.700000000000003</v>
      </c>
      <c r="C15" s="48">
        <v>2086</v>
      </c>
      <c r="D15" s="48">
        <v>1741</v>
      </c>
      <c r="E15" s="49">
        <v>0.375</v>
      </c>
      <c r="F15" s="47">
        <f t="shared" si="0"/>
        <v>59.363333333333337</v>
      </c>
      <c r="G15" s="49" t="s">
        <v>140</v>
      </c>
      <c r="H15" s="49" t="s">
        <v>43</v>
      </c>
      <c r="I15" s="49" t="s">
        <v>45</v>
      </c>
      <c r="J15" s="49" t="s">
        <v>52</v>
      </c>
      <c r="K15" s="50" t="s">
        <v>69</v>
      </c>
      <c r="L15" s="51" t="s">
        <v>30</v>
      </c>
      <c r="M15" s="51" t="s">
        <v>12</v>
      </c>
      <c r="N15" s="51" t="s">
        <v>446</v>
      </c>
      <c r="O15" s="51" t="s">
        <v>103</v>
      </c>
      <c r="P15" s="51"/>
    </row>
    <row r="16" spans="1:16" ht="30" x14ac:dyDescent="0.25">
      <c r="A16" s="46">
        <v>45112</v>
      </c>
      <c r="B16" s="47">
        <v>27.1</v>
      </c>
      <c r="C16" s="48">
        <v>1832</v>
      </c>
      <c r="D16" s="48">
        <v>2748</v>
      </c>
      <c r="E16" s="49">
        <v>0.35416666666666669</v>
      </c>
      <c r="F16" s="47">
        <f t="shared" si="0"/>
        <v>54.58</v>
      </c>
      <c r="G16" s="49" t="s">
        <v>140</v>
      </c>
      <c r="H16" s="49" t="s">
        <v>43</v>
      </c>
      <c r="I16" s="49" t="s">
        <v>45</v>
      </c>
      <c r="J16" s="50" t="s">
        <v>53</v>
      </c>
      <c r="K16" s="50" t="s">
        <v>63</v>
      </c>
      <c r="L16" s="51" t="s">
        <v>31</v>
      </c>
      <c r="M16" s="51" t="s">
        <v>12</v>
      </c>
      <c r="N16" s="51" t="s">
        <v>446</v>
      </c>
      <c r="O16" s="51" t="s">
        <v>103</v>
      </c>
      <c r="P16" s="51" t="s">
        <v>27</v>
      </c>
    </row>
    <row r="17" spans="1:16" x14ac:dyDescent="0.25">
      <c r="A17" s="46">
        <v>45113</v>
      </c>
      <c r="B17" s="47">
        <v>25.3</v>
      </c>
      <c r="C17" s="48">
        <v>2075</v>
      </c>
      <c r="D17" s="48">
        <v>1656</v>
      </c>
      <c r="E17" s="49">
        <v>0.33333333333333331</v>
      </c>
      <c r="F17" s="47">
        <f t="shared" si="0"/>
        <v>51.569999999999993</v>
      </c>
      <c r="G17" s="49" t="s">
        <v>140</v>
      </c>
      <c r="H17" s="49" t="s">
        <v>43</v>
      </c>
      <c r="I17" s="49" t="s">
        <v>45</v>
      </c>
      <c r="J17" s="49" t="s">
        <v>54</v>
      </c>
      <c r="K17" s="50" t="s">
        <v>64</v>
      </c>
      <c r="L17" s="51" t="s">
        <v>11</v>
      </c>
      <c r="M17" s="51" t="s">
        <v>12</v>
      </c>
      <c r="N17" s="51" t="s">
        <v>446</v>
      </c>
      <c r="O17" s="51" t="s">
        <v>103</v>
      </c>
      <c r="P17" s="51"/>
    </row>
    <row r="18" spans="1:16" x14ac:dyDescent="0.25">
      <c r="A18" s="46">
        <v>45114</v>
      </c>
      <c r="B18" s="47">
        <v>34.299999999999997</v>
      </c>
      <c r="C18" s="48">
        <v>2270</v>
      </c>
      <c r="D18" s="48">
        <v>1350</v>
      </c>
      <c r="E18" s="49">
        <v>0.41666666666666669</v>
      </c>
      <c r="F18" s="47">
        <f t="shared" si="0"/>
        <v>61.5</v>
      </c>
      <c r="G18" s="49" t="s">
        <v>140</v>
      </c>
      <c r="H18" s="49" t="s">
        <v>43</v>
      </c>
      <c r="I18" s="49" t="s">
        <v>45</v>
      </c>
      <c r="J18" s="49" t="s">
        <v>55</v>
      </c>
      <c r="K18" s="50" t="s">
        <v>68</v>
      </c>
      <c r="L18" s="51" t="s">
        <v>13</v>
      </c>
      <c r="M18" s="51" t="s">
        <v>12</v>
      </c>
      <c r="N18" s="51" t="s">
        <v>446</v>
      </c>
      <c r="O18" s="51" t="s">
        <v>103</v>
      </c>
      <c r="P18" s="51"/>
    </row>
    <row r="19" spans="1:16" x14ac:dyDescent="0.25">
      <c r="A19" s="46">
        <v>45115</v>
      </c>
      <c r="B19" s="47">
        <v>43</v>
      </c>
      <c r="C19" s="48">
        <v>1950</v>
      </c>
      <c r="D19" s="48">
        <v>1812</v>
      </c>
      <c r="E19" s="49">
        <v>0.42708333333333331</v>
      </c>
      <c r="F19" s="47">
        <f t="shared" si="0"/>
        <v>68.540000000000006</v>
      </c>
      <c r="G19" s="49" t="s">
        <v>140</v>
      </c>
      <c r="H19" s="49" t="s">
        <v>43</v>
      </c>
      <c r="I19" s="49" t="s">
        <v>45</v>
      </c>
      <c r="J19" s="49" t="s">
        <v>56</v>
      </c>
      <c r="K19" s="50" t="s">
        <v>65</v>
      </c>
      <c r="L19" s="51" t="s">
        <v>15</v>
      </c>
      <c r="M19" s="51" t="s">
        <v>12</v>
      </c>
      <c r="N19" s="51" t="s">
        <v>446</v>
      </c>
      <c r="O19" s="51" t="s">
        <v>103</v>
      </c>
      <c r="P19" s="51" t="s">
        <v>28</v>
      </c>
    </row>
    <row r="20" spans="1:16" x14ac:dyDescent="0.25">
      <c r="A20" s="46">
        <v>45116</v>
      </c>
      <c r="B20" s="47">
        <v>32.200000000000003</v>
      </c>
      <c r="C20" s="48">
        <v>1213</v>
      </c>
      <c r="D20" s="48">
        <v>2440</v>
      </c>
      <c r="E20" s="49">
        <v>0.41666666666666669</v>
      </c>
      <c r="F20" s="47">
        <f t="shared" si="0"/>
        <v>52.463333333333338</v>
      </c>
      <c r="G20" s="49" t="s">
        <v>140</v>
      </c>
      <c r="H20" s="49" t="s">
        <v>43</v>
      </c>
      <c r="I20" s="49" t="s">
        <v>45</v>
      </c>
      <c r="J20" s="49" t="s">
        <v>56</v>
      </c>
      <c r="K20" s="50" t="s">
        <v>62</v>
      </c>
      <c r="L20" s="51" t="s">
        <v>14</v>
      </c>
      <c r="M20" s="51" t="s">
        <v>12</v>
      </c>
      <c r="N20" s="51" t="s">
        <v>446</v>
      </c>
      <c r="O20" s="51" t="s">
        <v>103</v>
      </c>
      <c r="P20" s="51"/>
    </row>
    <row r="21" spans="1:16" x14ac:dyDescent="0.25">
      <c r="A21" s="15">
        <v>45123</v>
      </c>
      <c r="B21" s="35">
        <v>23</v>
      </c>
      <c r="C21" s="16">
        <v>1183</v>
      </c>
      <c r="D21" s="16">
        <v>1183</v>
      </c>
      <c r="E21" s="17">
        <v>0.33333333333333331</v>
      </c>
      <c r="F21" s="35">
        <f t="shared" si="0"/>
        <v>38.773333333333333</v>
      </c>
      <c r="G21" s="17" t="s">
        <v>140</v>
      </c>
      <c r="H21" s="17" t="s">
        <v>43</v>
      </c>
      <c r="I21" s="17" t="s">
        <v>46</v>
      </c>
      <c r="J21" s="17" t="s">
        <v>57</v>
      </c>
      <c r="K21" s="25" t="s">
        <v>70</v>
      </c>
      <c r="L21" s="18" t="s">
        <v>17</v>
      </c>
      <c r="M21" s="18" t="s">
        <v>201</v>
      </c>
      <c r="N21" s="18" t="s">
        <v>445</v>
      </c>
      <c r="O21" s="18" t="s">
        <v>200</v>
      </c>
      <c r="P21" s="18"/>
    </row>
    <row r="22" spans="1:16" ht="30" x14ac:dyDescent="0.25">
      <c r="A22" s="36">
        <v>45124</v>
      </c>
      <c r="B22" s="37">
        <v>21.15</v>
      </c>
      <c r="C22" s="38">
        <v>1085</v>
      </c>
      <c r="D22" s="38">
        <v>1245</v>
      </c>
      <c r="E22" s="23">
        <v>0.34722222222222227</v>
      </c>
      <c r="F22" s="37">
        <f t="shared" si="0"/>
        <v>36.15</v>
      </c>
      <c r="G22" s="23" t="s">
        <v>140</v>
      </c>
      <c r="H22" s="23" t="s">
        <v>43</v>
      </c>
      <c r="I22" s="23" t="s">
        <v>46</v>
      </c>
      <c r="J22" s="23" t="s">
        <v>57</v>
      </c>
      <c r="K22" s="21" t="s">
        <v>70</v>
      </c>
      <c r="L22" s="19" t="s">
        <v>23</v>
      </c>
      <c r="M22" s="19" t="s">
        <v>201</v>
      </c>
      <c r="N22" s="19" t="s">
        <v>445</v>
      </c>
      <c r="O22" s="19" t="s">
        <v>200</v>
      </c>
      <c r="P22" s="19"/>
    </row>
    <row r="23" spans="1:16" ht="30" x14ac:dyDescent="0.25">
      <c r="A23" s="15">
        <v>45125</v>
      </c>
      <c r="B23" s="35">
        <v>35.22</v>
      </c>
      <c r="C23" s="16">
        <v>2140</v>
      </c>
      <c r="D23" s="16">
        <v>2140</v>
      </c>
      <c r="E23" s="17">
        <v>0.39583333333333331</v>
      </c>
      <c r="F23" s="35">
        <f t="shared" si="0"/>
        <v>63.75333333333333</v>
      </c>
      <c r="G23" s="17" t="s">
        <v>140</v>
      </c>
      <c r="H23" s="17" t="s">
        <v>43</v>
      </c>
      <c r="I23" s="17" t="s">
        <v>46</v>
      </c>
      <c r="J23" s="17" t="s">
        <v>57</v>
      </c>
      <c r="K23" s="25" t="s">
        <v>60</v>
      </c>
      <c r="L23" s="18" t="s">
        <v>24</v>
      </c>
      <c r="M23" s="18" t="s">
        <v>201</v>
      </c>
      <c r="N23" s="18" t="s">
        <v>445</v>
      </c>
      <c r="O23" s="18" t="s">
        <v>103</v>
      </c>
      <c r="P23" s="18" t="s">
        <v>146</v>
      </c>
    </row>
    <row r="24" spans="1:16" x14ac:dyDescent="0.25">
      <c r="A24" s="36">
        <v>45127</v>
      </c>
      <c r="B24" s="37">
        <v>15.4</v>
      </c>
      <c r="C24" s="38">
        <v>677</v>
      </c>
      <c r="D24" s="38">
        <v>677</v>
      </c>
      <c r="E24" s="23">
        <v>0.22916666666666666</v>
      </c>
      <c r="F24" s="37">
        <f t="shared" si="0"/>
        <v>24.426666666666669</v>
      </c>
      <c r="G24" s="23" t="s">
        <v>140</v>
      </c>
      <c r="H24" s="23" t="s">
        <v>43</v>
      </c>
      <c r="I24" s="23" t="s">
        <v>46</v>
      </c>
      <c r="J24" s="23" t="s">
        <v>57</v>
      </c>
      <c r="K24" s="21" t="s">
        <v>61</v>
      </c>
      <c r="L24" s="19" t="s">
        <v>32</v>
      </c>
      <c r="M24" s="19" t="s">
        <v>201</v>
      </c>
      <c r="N24" s="19" t="s">
        <v>445</v>
      </c>
      <c r="O24" s="19" t="s">
        <v>200</v>
      </c>
      <c r="P24" s="19"/>
    </row>
    <row r="25" spans="1:16" x14ac:dyDescent="0.25">
      <c r="A25" s="15">
        <v>45150</v>
      </c>
      <c r="B25" s="35">
        <v>18.54</v>
      </c>
      <c r="C25" s="16">
        <v>760</v>
      </c>
      <c r="D25" s="16">
        <v>760</v>
      </c>
      <c r="E25" s="17">
        <v>0.25</v>
      </c>
      <c r="F25" s="35">
        <f t="shared" si="0"/>
        <v>28.673333333333332</v>
      </c>
      <c r="G25" s="17" t="s">
        <v>140</v>
      </c>
      <c r="H25" s="17" t="s">
        <v>43</v>
      </c>
      <c r="I25" s="17" t="s">
        <v>44</v>
      </c>
      <c r="J25" s="17" t="s">
        <v>48</v>
      </c>
      <c r="K25" s="25" t="s">
        <v>58</v>
      </c>
      <c r="L25" s="18" t="s">
        <v>72</v>
      </c>
      <c r="M25" s="18"/>
      <c r="N25" s="18" t="s">
        <v>445</v>
      </c>
      <c r="O25" s="18" t="s">
        <v>196</v>
      </c>
      <c r="P25" s="18"/>
    </row>
    <row r="26" spans="1:16" x14ac:dyDescent="0.25">
      <c r="A26" s="36">
        <v>45199</v>
      </c>
      <c r="B26" s="37">
        <v>8.85</v>
      </c>
      <c r="C26" s="38">
        <v>547</v>
      </c>
      <c r="D26" s="38">
        <v>547</v>
      </c>
      <c r="E26" s="23">
        <v>0.10416666666666667</v>
      </c>
      <c r="F26" s="37">
        <f t="shared" si="0"/>
        <v>16.143333333333334</v>
      </c>
      <c r="G26" s="23" t="s">
        <v>140</v>
      </c>
      <c r="H26" s="23" t="s">
        <v>43</v>
      </c>
      <c r="I26" s="23" t="s">
        <v>44</v>
      </c>
      <c r="J26" s="23" t="s">
        <v>48</v>
      </c>
      <c r="K26" s="21" t="s">
        <v>59</v>
      </c>
      <c r="L26" s="19"/>
      <c r="M26" s="19"/>
      <c r="N26" s="19" t="s">
        <v>445</v>
      </c>
      <c r="O26" s="19" t="s">
        <v>196</v>
      </c>
      <c r="P26" s="19"/>
    </row>
    <row r="27" spans="1:16" ht="30" x14ac:dyDescent="0.25">
      <c r="A27" s="15">
        <v>45205</v>
      </c>
      <c r="B27" s="35">
        <v>14.5</v>
      </c>
      <c r="C27" s="16">
        <v>1900</v>
      </c>
      <c r="D27" s="16">
        <v>750</v>
      </c>
      <c r="E27" s="17">
        <v>0.26041666666666669</v>
      </c>
      <c r="F27" s="35">
        <f t="shared" si="0"/>
        <v>36</v>
      </c>
      <c r="G27" s="17" t="s">
        <v>140</v>
      </c>
      <c r="H27" s="17" t="s">
        <v>43</v>
      </c>
      <c r="I27" s="17" t="s">
        <v>46</v>
      </c>
      <c r="J27" s="17" t="s">
        <v>73</v>
      </c>
      <c r="K27" s="25" t="s">
        <v>74</v>
      </c>
      <c r="L27" s="18" t="s">
        <v>78</v>
      </c>
      <c r="M27" s="18" t="s">
        <v>248</v>
      </c>
      <c r="N27" s="18" t="s">
        <v>446</v>
      </c>
      <c r="O27" s="18" t="s">
        <v>103</v>
      </c>
      <c r="P27" s="18"/>
    </row>
    <row r="28" spans="1:16" ht="30" x14ac:dyDescent="0.25">
      <c r="A28" s="15">
        <v>45206</v>
      </c>
      <c r="B28" s="35">
        <v>26.5</v>
      </c>
      <c r="C28" s="16">
        <v>2450</v>
      </c>
      <c r="D28" s="16">
        <v>2475</v>
      </c>
      <c r="E28" s="17">
        <v>0.41666666666666669</v>
      </c>
      <c r="F28" s="35">
        <f t="shared" si="0"/>
        <v>59.25</v>
      </c>
      <c r="G28" s="17" t="s">
        <v>140</v>
      </c>
      <c r="H28" s="17" t="s">
        <v>43</v>
      </c>
      <c r="I28" s="17" t="s">
        <v>46</v>
      </c>
      <c r="J28" s="17" t="s">
        <v>73</v>
      </c>
      <c r="K28" s="25" t="s">
        <v>75</v>
      </c>
      <c r="L28" s="18" t="s">
        <v>79</v>
      </c>
      <c r="M28" s="18" t="s">
        <v>248</v>
      </c>
      <c r="N28" s="18" t="s">
        <v>446</v>
      </c>
      <c r="O28" s="18" t="s">
        <v>103</v>
      </c>
      <c r="P28" s="18" t="s">
        <v>26</v>
      </c>
    </row>
    <row r="29" spans="1:16" ht="30" x14ac:dyDescent="0.25">
      <c r="A29" s="15">
        <v>45207</v>
      </c>
      <c r="B29" s="35">
        <v>27</v>
      </c>
      <c r="C29" s="16">
        <v>1700</v>
      </c>
      <c r="D29" s="16">
        <v>2300</v>
      </c>
      <c r="E29" s="17">
        <v>0.39583333333333331</v>
      </c>
      <c r="F29" s="35">
        <f t="shared" si="0"/>
        <v>51.666666666666664</v>
      </c>
      <c r="G29" s="17" t="s">
        <v>140</v>
      </c>
      <c r="H29" s="17" t="s">
        <v>43</v>
      </c>
      <c r="I29" s="17" t="s">
        <v>46</v>
      </c>
      <c r="J29" s="17" t="s">
        <v>73</v>
      </c>
      <c r="K29" s="25" t="s">
        <v>76</v>
      </c>
      <c r="L29" s="18" t="s">
        <v>105</v>
      </c>
      <c r="M29" s="18" t="s">
        <v>248</v>
      </c>
      <c r="N29" s="18" t="s">
        <v>446</v>
      </c>
      <c r="O29" s="18" t="s">
        <v>103</v>
      </c>
      <c r="P29" s="18"/>
    </row>
    <row r="30" spans="1:16" ht="30" x14ac:dyDescent="0.25">
      <c r="A30" s="15">
        <v>45208</v>
      </c>
      <c r="B30" s="35">
        <v>22</v>
      </c>
      <c r="C30" s="16">
        <v>725</v>
      </c>
      <c r="D30" s="16">
        <v>1975</v>
      </c>
      <c r="E30" s="17">
        <v>0.26041666666666669</v>
      </c>
      <c r="F30" s="35">
        <f t="shared" si="0"/>
        <v>35.833333333333336</v>
      </c>
      <c r="G30" s="17" t="s">
        <v>140</v>
      </c>
      <c r="H30" s="17" t="s">
        <v>43</v>
      </c>
      <c r="I30" s="17" t="s">
        <v>46</v>
      </c>
      <c r="J30" s="17" t="s">
        <v>73</v>
      </c>
      <c r="K30" s="25" t="s">
        <v>77</v>
      </c>
      <c r="L30" s="18" t="s">
        <v>80</v>
      </c>
      <c r="M30" s="18" t="s">
        <v>248</v>
      </c>
      <c r="N30" s="18" t="s">
        <v>446</v>
      </c>
      <c r="O30" s="18" t="s">
        <v>103</v>
      </c>
      <c r="P30" s="18"/>
    </row>
    <row r="31" spans="1:16" x14ac:dyDescent="0.25">
      <c r="A31" s="36">
        <v>45220</v>
      </c>
      <c r="B31" s="37">
        <v>12.5</v>
      </c>
      <c r="C31" s="38">
        <v>765</v>
      </c>
      <c r="D31" s="38">
        <v>765</v>
      </c>
      <c r="E31" s="23">
        <v>0.14583333333333334</v>
      </c>
      <c r="F31" s="37">
        <f t="shared" si="0"/>
        <v>22.7</v>
      </c>
      <c r="G31" s="23" t="s">
        <v>140</v>
      </c>
      <c r="H31" s="23" t="s">
        <v>43</v>
      </c>
      <c r="I31" s="23" t="s">
        <v>44</v>
      </c>
      <c r="J31" s="23" t="s">
        <v>98</v>
      </c>
      <c r="K31" s="21" t="s">
        <v>71</v>
      </c>
      <c r="L31" s="19" t="s">
        <v>104</v>
      </c>
      <c r="M31" s="19"/>
      <c r="N31" s="19" t="s">
        <v>445</v>
      </c>
      <c r="O31" s="19" t="s">
        <v>196</v>
      </c>
      <c r="P31" s="19"/>
    </row>
    <row r="32" spans="1:16" x14ac:dyDescent="0.25">
      <c r="A32" s="15">
        <v>45227</v>
      </c>
      <c r="B32" s="35">
        <v>8.5</v>
      </c>
      <c r="C32" s="16">
        <v>325</v>
      </c>
      <c r="D32" s="16">
        <v>300</v>
      </c>
      <c r="E32" s="17">
        <v>0.14583333333333334</v>
      </c>
      <c r="F32" s="35">
        <f t="shared" si="0"/>
        <v>12.75</v>
      </c>
      <c r="G32" s="17" t="s">
        <v>140</v>
      </c>
      <c r="H32" s="17" t="s">
        <v>43</v>
      </c>
      <c r="I32" s="17" t="s">
        <v>44</v>
      </c>
      <c r="J32" s="17" t="s">
        <v>99</v>
      </c>
      <c r="K32" s="25" t="s">
        <v>100</v>
      </c>
      <c r="L32" s="18" t="s">
        <v>101</v>
      </c>
      <c r="M32" s="18"/>
      <c r="N32" s="18" t="s">
        <v>445</v>
      </c>
      <c r="O32" s="18" t="s">
        <v>200</v>
      </c>
      <c r="P32" s="18"/>
    </row>
    <row r="33" spans="1:16" x14ac:dyDescent="0.25">
      <c r="A33" s="36">
        <v>45235</v>
      </c>
      <c r="B33" s="37">
        <v>15</v>
      </c>
      <c r="C33" s="38">
        <v>630</v>
      </c>
      <c r="D33" s="38">
        <v>630</v>
      </c>
      <c r="E33" s="23">
        <v>0.11805555555555557</v>
      </c>
      <c r="F33" s="37">
        <f t="shared" si="0"/>
        <v>23.400000000000002</v>
      </c>
      <c r="G33" s="23" t="s">
        <v>140</v>
      </c>
      <c r="H33" s="23" t="s">
        <v>43</v>
      </c>
      <c r="I33" s="23" t="s">
        <v>44</v>
      </c>
      <c r="J33" s="23" t="s">
        <v>99</v>
      </c>
      <c r="K33" s="21" t="s">
        <v>100</v>
      </c>
      <c r="L33" s="19" t="s">
        <v>102</v>
      </c>
      <c r="M33" s="19"/>
      <c r="N33" s="19" t="s">
        <v>445</v>
      </c>
      <c r="O33" s="19" t="s">
        <v>103</v>
      </c>
      <c r="P33" s="19"/>
    </row>
    <row r="34" spans="1:16" x14ac:dyDescent="0.25">
      <c r="A34" s="15">
        <v>45339</v>
      </c>
      <c r="B34" s="35">
        <v>8.5</v>
      </c>
      <c r="C34" s="16">
        <v>540</v>
      </c>
      <c r="D34" s="16">
        <v>540</v>
      </c>
      <c r="E34" s="17">
        <v>9.7222222222222224E-2</v>
      </c>
      <c r="F34" s="35">
        <f t="shared" ref="F34:F65" si="1">B34+C34/100+D34/300</f>
        <v>15.700000000000001</v>
      </c>
      <c r="G34" s="17" t="s">
        <v>140</v>
      </c>
      <c r="H34" s="17" t="s">
        <v>43</v>
      </c>
      <c r="I34" s="17" t="s">
        <v>44</v>
      </c>
      <c r="J34" s="17" t="s">
        <v>48</v>
      </c>
      <c r="K34" s="25" t="s">
        <v>106</v>
      </c>
      <c r="L34" s="18" t="s">
        <v>107</v>
      </c>
      <c r="M34" s="18"/>
      <c r="N34" s="18" t="s">
        <v>445</v>
      </c>
      <c r="O34" s="18" t="s">
        <v>196</v>
      </c>
      <c r="P34" s="18"/>
    </row>
    <row r="35" spans="1:16" ht="30" x14ac:dyDescent="0.25">
      <c r="A35" s="36">
        <v>45347</v>
      </c>
      <c r="B35" s="37">
        <v>8</v>
      </c>
      <c r="C35" s="38">
        <v>600</v>
      </c>
      <c r="D35" s="38">
        <v>600</v>
      </c>
      <c r="E35" s="23">
        <v>0.16666666666666666</v>
      </c>
      <c r="F35" s="37">
        <f t="shared" si="1"/>
        <v>16</v>
      </c>
      <c r="G35" s="23" t="s">
        <v>140</v>
      </c>
      <c r="H35" s="23" t="s">
        <v>43</v>
      </c>
      <c r="I35" s="23" t="s">
        <v>44</v>
      </c>
      <c r="J35" s="23" t="s">
        <v>48</v>
      </c>
      <c r="K35" s="21" t="s">
        <v>59</v>
      </c>
      <c r="L35" s="19" t="s">
        <v>226</v>
      </c>
      <c r="M35" s="19"/>
      <c r="N35" s="19" t="s">
        <v>445</v>
      </c>
      <c r="O35" s="19" t="s">
        <v>204</v>
      </c>
      <c r="P35" s="19"/>
    </row>
    <row r="36" spans="1:16" x14ac:dyDescent="0.25">
      <c r="A36" s="15">
        <v>45374</v>
      </c>
      <c r="B36" s="35">
        <v>23</v>
      </c>
      <c r="C36" s="16">
        <v>800</v>
      </c>
      <c r="D36" s="16">
        <v>800</v>
      </c>
      <c r="E36" s="17">
        <v>0.25</v>
      </c>
      <c r="F36" s="35">
        <f t="shared" si="1"/>
        <v>33.666666666666664</v>
      </c>
      <c r="G36" s="17" t="s">
        <v>140</v>
      </c>
      <c r="H36" s="17" t="s">
        <v>43</v>
      </c>
      <c r="I36" s="17" t="s">
        <v>44</v>
      </c>
      <c r="J36" s="17" t="s">
        <v>48</v>
      </c>
      <c r="K36" s="25" t="s">
        <v>59</v>
      </c>
      <c r="L36" s="18" t="s">
        <v>108</v>
      </c>
      <c r="M36" s="18"/>
      <c r="N36" s="18" t="s">
        <v>445</v>
      </c>
      <c r="O36" s="18" t="s">
        <v>196</v>
      </c>
      <c r="P36" s="18"/>
    </row>
    <row r="37" spans="1:16" x14ac:dyDescent="0.25">
      <c r="A37" s="36">
        <v>45388</v>
      </c>
      <c r="B37" s="37">
        <v>15</v>
      </c>
      <c r="C37" s="38">
        <v>450</v>
      </c>
      <c r="D37" s="38">
        <v>450</v>
      </c>
      <c r="E37" s="23">
        <v>0.20833333333333334</v>
      </c>
      <c r="F37" s="37">
        <f t="shared" si="1"/>
        <v>21</v>
      </c>
      <c r="G37" s="23" t="s">
        <v>140</v>
      </c>
      <c r="H37" s="23" t="s">
        <v>43</v>
      </c>
      <c r="I37" s="23" t="s">
        <v>44</v>
      </c>
      <c r="J37" s="23" t="s">
        <v>48</v>
      </c>
      <c r="K37" s="21" t="s">
        <v>59</v>
      </c>
      <c r="L37" s="19" t="s">
        <v>109</v>
      </c>
      <c r="M37" s="19"/>
      <c r="N37" s="19" t="s">
        <v>445</v>
      </c>
      <c r="O37" s="19" t="s">
        <v>202</v>
      </c>
      <c r="P37" s="19"/>
    </row>
    <row r="38" spans="1:16" ht="30" x14ac:dyDescent="0.25">
      <c r="A38" s="15">
        <v>45416</v>
      </c>
      <c r="B38" s="35">
        <v>28</v>
      </c>
      <c r="C38" s="16">
        <v>1450</v>
      </c>
      <c r="D38" s="16">
        <v>1100</v>
      </c>
      <c r="E38" s="17">
        <v>0.375</v>
      </c>
      <c r="F38" s="35">
        <f t="shared" si="1"/>
        <v>46.166666666666664</v>
      </c>
      <c r="G38" s="17" t="s">
        <v>140</v>
      </c>
      <c r="H38" s="17" t="s">
        <v>43</v>
      </c>
      <c r="I38" s="17" t="s">
        <v>46</v>
      </c>
      <c r="J38" s="17" t="s">
        <v>120</v>
      </c>
      <c r="K38" s="25" t="s">
        <v>122</v>
      </c>
      <c r="L38" s="18" t="s">
        <v>125</v>
      </c>
      <c r="M38" s="18" t="s">
        <v>203</v>
      </c>
      <c r="N38" s="18" t="s">
        <v>446</v>
      </c>
      <c r="O38" s="18" t="s">
        <v>196</v>
      </c>
      <c r="P38" s="18" t="s">
        <v>138</v>
      </c>
    </row>
    <row r="39" spans="1:16" ht="30" x14ac:dyDescent="0.25">
      <c r="A39" s="15">
        <v>45417</v>
      </c>
      <c r="B39" s="35">
        <v>27</v>
      </c>
      <c r="C39" s="16">
        <v>800</v>
      </c>
      <c r="D39" s="16">
        <v>900</v>
      </c>
      <c r="E39" s="17">
        <v>0.375</v>
      </c>
      <c r="F39" s="35">
        <f t="shared" si="1"/>
        <v>38</v>
      </c>
      <c r="G39" s="17" t="s">
        <v>140</v>
      </c>
      <c r="H39" s="17" t="s">
        <v>43</v>
      </c>
      <c r="I39" s="17" t="s">
        <v>46</v>
      </c>
      <c r="J39" s="17" t="s">
        <v>120</v>
      </c>
      <c r="K39" s="25" t="s">
        <v>123</v>
      </c>
      <c r="L39" s="18" t="s">
        <v>126</v>
      </c>
      <c r="M39" s="18" t="s">
        <v>203</v>
      </c>
      <c r="N39" s="18" t="s">
        <v>446</v>
      </c>
      <c r="O39" s="18" t="s">
        <v>196</v>
      </c>
      <c r="P39" s="18"/>
    </row>
    <row r="40" spans="1:16" x14ac:dyDescent="0.25">
      <c r="A40" s="15">
        <v>45418</v>
      </c>
      <c r="B40" s="35">
        <v>30</v>
      </c>
      <c r="C40" s="16">
        <v>1250</v>
      </c>
      <c r="D40" s="16">
        <v>1500</v>
      </c>
      <c r="E40" s="17">
        <v>0.375</v>
      </c>
      <c r="F40" s="35">
        <f t="shared" si="1"/>
        <v>47.5</v>
      </c>
      <c r="G40" s="17" t="s">
        <v>140</v>
      </c>
      <c r="H40" s="17" t="s">
        <v>43</v>
      </c>
      <c r="I40" s="17" t="s">
        <v>46</v>
      </c>
      <c r="J40" s="17" t="s">
        <v>121</v>
      </c>
      <c r="K40" s="25" t="s">
        <v>124</v>
      </c>
      <c r="L40" s="18" t="s">
        <v>127</v>
      </c>
      <c r="M40" s="18" t="s">
        <v>203</v>
      </c>
      <c r="N40" s="18" t="s">
        <v>446</v>
      </c>
      <c r="O40" s="18" t="s">
        <v>196</v>
      </c>
      <c r="P40" s="18"/>
    </row>
    <row r="41" spans="1:16" x14ac:dyDescent="0.25">
      <c r="A41" s="46">
        <v>45420</v>
      </c>
      <c r="B41" s="47">
        <v>22</v>
      </c>
      <c r="C41" s="48">
        <v>950</v>
      </c>
      <c r="D41" s="48">
        <v>750</v>
      </c>
      <c r="E41" s="49">
        <v>0.375</v>
      </c>
      <c r="F41" s="47">
        <f t="shared" si="1"/>
        <v>34</v>
      </c>
      <c r="G41" s="49" t="s">
        <v>140</v>
      </c>
      <c r="H41" s="49" t="s">
        <v>43</v>
      </c>
      <c r="I41" s="49" t="s">
        <v>46</v>
      </c>
      <c r="J41" s="49" t="s">
        <v>120</v>
      </c>
      <c r="K41" s="50" t="s">
        <v>134</v>
      </c>
      <c r="L41" s="51" t="s">
        <v>141</v>
      </c>
      <c r="M41" s="51" t="s">
        <v>249</v>
      </c>
      <c r="N41" s="51" t="s">
        <v>447</v>
      </c>
      <c r="O41" s="51" t="s">
        <v>198</v>
      </c>
      <c r="P41" s="51" t="s">
        <v>439</v>
      </c>
    </row>
    <row r="42" spans="1:16" x14ac:dyDescent="0.25">
      <c r="A42" s="46">
        <v>45421</v>
      </c>
      <c r="B42" s="47">
        <v>26</v>
      </c>
      <c r="C42" s="48">
        <v>1250</v>
      </c>
      <c r="D42" s="48">
        <v>900</v>
      </c>
      <c r="E42" s="49">
        <v>0.5</v>
      </c>
      <c r="F42" s="47">
        <f t="shared" si="1"/>
        <v>41.5</v>
      </c>
      <c r="G42" s="49" t="s">
        <v>140</v>
      </c>
      <c r="H42" s="49" t="s">
        <v>43</v>
      </c>
      <c r="I42" s="49" t="s">
        <v>46</v>
      </c>
      <c r="J42" s="49" t="s">
        <v>120</v>
      </c>
      <c r="K42" s="50" t="s">
        <v>135</v>
      </c>
      <c r="L42" s="51" t="s">
        <v>142</v>
      </c>
      <c r="M42" s="51" t="s">
        <v>249</v>
      </c>
      <c r="N42" s="51" t="s">
        <v>447</v>
      </c>
      <c r="O42" s="51" t="s">
        <v>198</v>
      </c>
      <c r="P42" s="51"/>
    </row>
    <row r="43" spans="1:16" x14ac:dyDescent="0.25">
      <c r="A43" s="46">
        <v>45422</v>
      </c>
      <c r="B43" s="47">
        <v>22</v>
      </c>
      <c r="C43" s="48">
        <v>800</v>
      </c>
      <c r="D43" s="48">
        <v>1100</v>
      </c>
      <c r="E43" s="49">
        <v>0.40625</v>
      </c>
      <c r="F43" s="47">
        <f t="shared" si="1"/>
        <v>33.666666666666664</v>
      </c>
      <c r="G43" s="49" t="s">
        <v>140</v>
      </c>
      <c r="H43" s="49" t="s">
        <v>43</v>
      </c>
      <c r="I43" s="49" t="s">
        <v>46</v>
      </c>
      <c r="J43" s="49" t="s">
        <v>120</v>
      </c>
      <c r="K43" s="50" t="s">
        <v>136</v>
      </c>
      <c r="L43" s="51" t="s">
        <v>143</v>
      </c>
      <c r="M43" s="51" t="s">
        <v>249</v>
      </c>
      <c r="N43" s="51" t="s">
        <v>447</v>
      </c>
      <c r="O43" s="51" t="s">
        <v>198</v>
      </c>
      <c r="P43" s="51"/>
    </row>
    <row r="44" spans="1:16" ht="30" x14ac:dyDescent="0.25">
      <c r="A44" s="46">
        <v>45423</v>
      </c>
      <c r="B44" s="47">
        <v>21</v>
      </c>
      <c r="C44" s="48">
        <v>1300</v>
      </c>
      <c r="D44" s="48">
        <v>1150</v>
      </c>
      <c r="E44" s="49">
        <v>0.38541666666666669</v>
      </c>
      <c r="F44" s="47">
        <f t="shared" si="1"/>
        <v>37.833333333333336</v>
      </c>
      <c r="G44" s="49" t="s">
        <v>140</v>
      </c>
      <c r="H44" s="49" t="s">
        <v>43</v>
      </c>
      <c r="I44" s="49" t="s">
        <v>46</v>
      </c>
      <c r="J44" s="49" t="s">
        <v>120</v>
      </c>
      <c r="K44" s="50" t="s">
        <v>137</v>
      </c>
      <c r="L44" s="51" t="s">
        <v>145</v>
      </c>
      <c r="M44" s="51" t="s">
        <v>249</v>
      </c>
      <c r="N44" s="51" t="s">
        <v>447</v>
      </c>
      <c r="O44" s="51" t="s">
        <v>198</v>
      </c>
      <c r="P44" s="51"/>
    </row>
    <row r="45" spans="1:16" x14ac:dyDescent="0.25">
      <c r="A45" s="46">
        <v>45424</v>
      </c>
      <c r="B45" s="47">
        <v>7</v>
      </c>
      <c r="C45" s="48">
        <v>10</v>
      </c>
      <c r="D45" s="48">
        <v>300</v>
      </c>
      <c r="E45" s="49">
        <v>7.2916666666666671E-2</v>
      </c>
      <c r="F45" s="47">
        <f t="shared" si="1"/>
        <v>8.1</v>
      </c>
      <c r="G45" s="49" t="s">
        <v>140</v>
      </c>
      <c r="H45" s="49" t="s">
        <v>43</v>
      </c>
      <c r="I45" s="49" t="s">
        <v>46</v>
      </c>
      <c r="J45" s="49" t="s">
        <v>120</v>
      </c>
      <c r="K45" s="50" t="s">
        <v>136</v>
      </c>
      <c r="L45" s="51" t="s">
        <v>144</v>
      </c>
      <c r="M45" s="51" t="s">
        <v>249</v>
      </c>
      <c r="N45" s="51" t="s">
        <v>447</v>
      </c>
      <c r="O45" s="51" t="s">
        <v>198</v>
      </c>
      <c r="P45" s="51"/>
    </row>
    <row r="46" spans="1:16" ht="30" x14ac:dyDescent="0.25">
      <c r="A46" s="15">
        <v>45446</v>
      </c>
      <c r="B46" s="35">
        <v>26.7</v>
      </c>
      <c r="C46" s="16">
        <v>2200</v>
      </c>
      <c r="D46" s="16">
        <v>1250</v>
      </c>
      <c r="E46" s="17">
        <v>0.34375</v>
      </c>
      <c r="F46" s="35">
        <f t="shared" si="1"/>
        <v>52.866666666666667</v>
      </c>
      <c r="G46" s="17" t="s">
        <v>140</v>
      </c>
      <c r="H46" s="17" t="s">
        <v>43</v>
      </c>
      <c r="I46" s="17" t="s">
        <v>45</v>
      </c>
      <c r="J46" s="17" t="s">
        <v>151</v>
      </c>
      <c r="K46" s="25" t="s">
        <v>155</v>
      </c>
      <c r="L46" s="18" t="s">
        <v>157</v>
      </c>
      <c r="M46" s="18" t="s">
        <v>367</v>
      </c>
      <c r="N46" s="18" t="s">
        <v>447</v>
      </c>
      <c r="O46" s="18" t="s">
        <v>103</v>
      </c>
      <c r="P46" s="18" t="s">
        <v>440</v>
      </c>
    </row>
    <row r="47" spans="1:16" ht="30" x14ac:dyDescent="0.25">
      <c r="A47" s="15">
        <v>45447</v>
      </c>
      <c r="B47" s="35">
        <v>40.4</v>
      </c>
      <c r="C47" s="16">
        <v>2590</v>
      </c>
      <c r="D47" s="16">
        <v>2710</v>
      </c>
      <c r="E47" s="17">
        <v>0.52083333333333337</v>
      </c>
      <c r="F47" s="35">
        <f t="shared" si="1"/>
        <v>75.333333333333329</v>
      </c>
      <c r="G47" s="17" t="s">
        <v>140</v>
      </c>
      <c r="H47" s="17" t="s">
        <v>43</v>
      </c>
      <c r="I47" s="17" t="s">
        <v>45</v>
      </c>
      <c r="J47" s="17" t="s">
        <v>152</v>
      </c>
      <c r="K47" s="25"/>
      <c r="L47" s="18" t="s">
        <v>158</v>
      </c>
      <c r="M47" s="18" t="s">
        <v>367</v>
      </c>
      <c r="N47" s="18" t="s">
        <v>447</v>
      </c>
      <c r="O47" s="18" t="s">
        <v>103</v>
      </c>
      <c r="P47" s="18" t="s">
        <v>26</v>
      </c>
    </row>
    <row r="48" spans="1:16" x14ac:dyDescent="0.25">
      <c r="A48" s="15">
        <v>45448</v>
      </c>
      <c r="B48" s="35">
        <v>32.200000000000003</v>
      </c>
      <c r="C48" s="16">
        <v>2050</v>
      </c>
      <c r="D48" s="16">
        <v>2370</v>
      </c>
      <c r="E48" s="17">
        <v>0.51041666666666663</v>
      </c>
      <c r="F48" s="35">
        <f t="shared" si="1"/>
        <v>60.6</v>
      </c>
      <c r="G48" s="17" t="s">
        <v>140</v>
      </c>
      <c r="H48" s="17" t="s">
        <v>43</v>
      </c>
      <c r="I48" s="17" t="s">
        <v>45</v>
      </c>
      <c r="J48" s="17" t="s">
        <v>153</v>
      </c>
      <c r="K48" s="25" t="s">
        <v>156</v>
      </c>
      <c r="L48" s="18" t="s">
        <v>159</v>
      </c>
      <c r="M48" s="18" t="s">
        <v>367</v>
      </c>
      <c r="N48" s="18" t="s">
        <v>447</v>
      </c>
      <c r="O48" s="18" t="s">
        <v>103</v>
      </c>
      <c r="P48" s="18"/>
    </row>
    <row r="49" spans="1:16" x14ac:dyDescent="0.25">
      <c r="A49" s="15">
        <v>45449</v>
      </c>
      <c r="B49" s="35">
        <v>33.799999999999997</v>
      </c>
      <c r="C49" s="16">
        <v>1700</v>
      </c>
      <c r="D49" s="16">
        <v>1290</v>
      </c>
      <c r="E49" s="17">
        <v>0.48958333333333331</v>
      </c>
      <c r="F49" s="35">
        <f t="shared" si="1"/>
        <v>55.099999999999994</v>
      </c>
      <c r="G49" s="17" t="s">
        <v>140</v>
      </c>
      <c r="H49" s="17" t="s">
        <v>43</v>
      </c>
      <c r="I49" s="17" t="s">
        <v>45</v>
      </c>
      <c r="J49" s="17" t="s">
        <v>154</v>
      </c>
      <c r="K49" s="25" t="s">
        <v>9</v>
      </c>
      <c r="L49" s="18" t="s">
        <v>160</v>
      </c>
      <c r="M49" s="18" t="s">
        <v>367</v>
      </c>
      <c r="N49" s="18" t="s">
        <v>447</v>
      </c>
      <c r="O49" s="18" t="s">
        <v>103</v>
      </c>
      <c r="P49" s="18" t="s">
        <v>163</v>
      </c>
    </row>
    <row r="50" spans="1:16" ht="30" x14ac:dyDescent="0.25">
      <c r="A50" s="46">
        <v>45535</v>
      </c>
      <c r="B50" s="47">
        <v>23.5</v>
      </c>
      <c r="C50" s="48">
        <v>1500</v>
      </c>
      <c r="D50" s="48">
        <v>1350</v>
      </c>
      <c r="E50" s="49">
        <v>0.51041666666666663</v>
      </c>
      <c r="F50" s="47">
        <f t="shared" si="1"/>
        <v>43</v>
      </c>
      <c r="G50" s="49" t="s">
        <v>140</v>
      </c>
      <c r="H50" s="49" t="s">
        <v>43</v>
      </c>
      <c r="I50" s="49" t="s">
        <v>45</v>
      </c>
      <c r="J50" s="49" t="s">
        <v>164</v>
      </c>
      <c r="K50" s="50" t="s">
        <v>166</v>
      </c>
      <c r="L50" s="51" t="s">
        <v>168</v>
      </c>
      <c r="M50" s="51" t="s">
        <v>250</v>
      </c>
      <c r="N50" s="51" t="s">
        <v>447</v>
      </c>
      <c r="O50" s="51" t="s">
        <v>205</v>
      </c>
      <c r="P50" s="51"/>
    </row>
    <row r="51" spans="1:16" ht="30" x14ac:dyDescent="0.25">
      <c r="A51" s="46">
        <v>45536</v>
      </c>
      <c r="B51" s="47">
        <v>20</v>
      </c>
      <c r="C51" s="48">
        <v>1250</v>
      </c>
      <c r="D51" s="48">
        <v>1200</v>
      </c>
      <c r="E51" s="49">
        <v>0.35069444444444442</v>
      </c>
      <c r="F51" s="47">
        <f t="shared" si="1"/>
        <v>36.5</v>
      </c>
      <c r="G51" s="49" t="s">
        <v>140</v>
      </c>
      <c r="H51" s="49" t="s">
        <v>43</v>
      </c>
      <c r="I51" s="49" t="s">
        <v>45</v>
      </c>
      <c r="J51" s="49" t="s">
        <v>164</v>
      </c>
      <c r="K51" s="50" t="s">
        <v>167</v>
      </c>
      <c r="L51" s="51" t="s">
        <v>169</v>
      </c>
      <c r="M51" s="51" t="s">
        <v>250</v>
      </c>
      <c r="N51" s="51" t="s">
        <v>447</v>
      </c>
      <c r="O51" s="51" t="s">
        <v>205</v>
      </c>
      <c r="P51" s="51"/>
    </row>
    <row r="52" spans="1:16" ht="30" x14ac:dyDescent="0.25">
      <c r="A52" s="46">
        <v>45537</v>
      </c>
      <c r="B52" s="47">
        <v>6.5</v>
      </c>
      <c r="C52" s="48">
        <v>0</v>
      </c>
      <c r="D52" s="48">
        <v>250</v>
      </c>
      <c r="E52" s="49">
        <v>8.3333333333333329E-2</v>
      </c>
      <c r="F52" s="47">
        <f t="shared" si="1"/>
        <v>7.333333333333333</v>
      </c>
      <c r="G52" s="49" t="s">
        <v>140</v>
      </c>
      <c r="H52" s="49" t="s">
        <v>43</v>
      </c>
      <c r="I52" s="49" t="s">
        <v>45</v>
      </c>
      <c r="J52" s="49" t="s">
        <v>164</v>
      </c>
      <c r="K52" s="50" t="s">
        <v>165</v>
      </c>
      <c r="L52" s="51" t="s">
        <v>170</v>
      </c>
      <c r="M52" s="51" t="s">
        <v>250</v>
      </c>
      <c r="N52" s="51" t="s">
        <v>447</v>
      </c>
      <c r="O52" s="51" t="s">
        <v>205</v>
      </c>
      <c r="P52" s="51"/>
    </row>
    <row r="53" spans="1:16" s="22" customFormat="1" ht="30" x14ac:dyDescent="0.25">
      <c r="A53" s="43">
        <v>45540</v>
      </c>
      <c r="B53" s="44">
        <v>65.5</v>
      </c>
      <c r="C53" s="45">
        <v>1850</v>
      </c>
      <c r="D53" s="45">
        <v>1700</v>
      </c>
      <c r="E53" s="25">
        <v>0.59375</v>
      </c>
      <c r="F53" s="44">
        <f t="shared" si="1"/>
        <v>89.666666666666671</v>
      </c>
      <c r="G53" s="25" t="s">
        <v>140</v>
      </c>
      <c r="H53" s="25" t="s">
        <v>43</v>
      </c>
      <c r="I53" s="25" t="s">
        <v>172</v>
      </c>
      <c r="J53" s="25" t="s">
        <v>173</v>
      </c>
      <c r="K53" s="25" t="s">
        <v>174</v>
      </c>
      <c r="L53" s="18" t="s">
        <v>175</v>
      </c>
      <c r="M53" s="18" t="s">
        <v>182</v>
      </c>
      <c r="N53" s="18" t="s">
        <v>445</v>
      </c>
      <c r="O53" s="18" t="s">
        <v>103</v>
      </c>
      <c r="P53" s="18" t="s">
        <v>176</v>
      </c>
    </row>
    <row r="54" spans="1:16" x14ac:dyDescent="0.25">
      <c r="A54" s="20">
        <v>45542</v>
      </c>
      <c r="B54" s="37">
        <v>18.5</v>
      </c>
      <c r="C54" s="38">
        <v>513</v>
      </c>
      <c r="D54" s="38">
        <v>513</v>
      </c>
      <c r="E54" s="23">
        <v>0.33333333333333331</v>
      </c>
      <c r="F54" s="37">
        <f t="shared" si="1"/>
        <v>25.34</v>
      </c>
      <c r="G54" s="21" t="s">
        <v>140</v>
      </c>
      <c r="H54" s="21" t="s">
        <v>43</v>
      </c>
      <c r="I54" s="21" t="s">
        <v>172</v>
      </c>
      <c r="J54" s="23" t="s">
        <v>186</v>
      </c>
      <c r="K54" s="21" t="s">
        <v>177</v>
      </c>
      <c r="L54" s="19" t="s">
        <v>178</v>
      </c>
      <c r="M54" s="19" t="s">
        <v>330</v>
      </c>
      <c r="N54" s="19" t="s">
        <v>445</v>
      </c>
      <c r="O54" s="19" t="s">
        <v>206</v>
      </c>
      <c r="P54" s="19"/>
    </row>
    <row r="55" spans="1:16" x14ac:dyDescent="0.25">
      <c r="A55" s="15">
        <v>45556</v>
      </c>
      <c r="B55" s="35">
        <v>35.5</v>
      </c>
      <c r="C55" s="16">
        <v>1770</v>
      </c>
      <c r="D55" s="16">
        <v>680</v>
      </c>
      <c r="E55" s="17">
        <v>0.4375</v>
      </c>
      <c r="F55" s="35">
        <f t="shared" si="1"/>
        <v>55.466666666666669</v>
      </c>
      <c r="G55" s="25" t="s">
        <v>140</v>
      </c>
      <c r="H55" s="25" t="s">
        <v>43</v>
      </c>
      <c r="I55" s="25" t="s">
        <v>172</v>
      </c>
      <c r="J55" s="17" t="s">
        <v>186</v>
      </c>
      <c r="K55" s="25" t="s">
        <v>177</v>
      </c>
      <c r="L55" s="18" t="s">
        <v>180</v>
      </c>
      <c r="M55" s="18" t="s">
        <v>422</v>
      </c>
      <c r="N55" s="18" t="s">
        <v>447</v>
      </c>
      <c r="O55" s="18" t="s">
        <v>103</v>
      </c>
      <c r="P55" s="18"/>
    </row>
    <row r="56" spans="1:16" x14ac:dyDescent="0.25">
      <c r="A56" s="15">
        <v>45557</v>
      </c>
      <c r="B56" s="35">
        <v>30.1</v>
      </c>
      <c r="C56" s="16">
        <v>390</v>
      </c>
      <c r="D56" s="16">
        <v>1140</v>
      </c>
      <c r="E56" s="25">
        <v>0.30208333333333331</v>
      </c>
      <c r="F56" s="35">
        <f t="shared" si="1"/>
        <v>37.799999999999997</v>
      </c>
      <c r="G56" s="25" t="s">
        <v>140</v>
      </c>
      <c r="H56" s="25" t="s">
        <v>43</v>
      </c>
      <c r="I56" s="25" t="s">
        <v>172</v>
      </c>
      <c r="J56" s="17" t="s">
        <v>186</v>
      </c>
      <c r="K56" s="25" t="s">
        <v>179</v>
      </c>
      <c r="L56" s="18" t="s">
        <v>181</v>
      </c>
      <c r="M56" s="18" t="s">
        <v>422</v>
      </c>
      <c r="N56" s="18" t="s">
        <v>447</v>
      </c>
      <c r="O56" s="18" t="s">
        <v>103</v>
      </c>
      <c r="P56" s="18"/>
    </row>
    <row r="57" spans="1:16" x14ac:dyDescent="0.25">
      <c r="A57" s="46">
        <v>45562</v>
      </c>
      <c r="B57" s="47">
        <v>23.35</v>
      </c>
      <c r="C57" s="48">
        <v>2520</v>
      </c>
      <c r="D57" s="48">
        <v>1760</v>
      </c>
      <c r="E57" s="49">
        <v>0.44791666666666669</v>
      </c>
      <c r="F57" s="47">
        <f t="shared" si="1"/>
        <v>54.416666666666664</v>
      </c>
      <c r="G57" s="50" t="s">
        <v>140</v>
      </c>
      <c r="H57" s="50" t="s">
        <v>43</v>
      </c>
      <c r="I57" s="49" t="s">
        <v>45</v>
      </c>
      <c r="J57" s="49" t="s">
        <v>187</v>
      </c>
      <c r="K57" s="50" t="s">
        <v>188</v>
      </c>
      <c r="L57" s="51" t="s">
        <v>189</v>
      </c>
      <c r="M57" s="51" t="s">
        <v>368</v>
      </c>
      <c r="N57" s="51" t="s">
        <v>447</v>
      </c>
      <c r="O57" s="51" t="s">
        <v>207</v>
      </c>
      <c r="P57" s="51"/>
    </row>
    <row r="58" spans="1:16" x14ac:dyDescent="0.25">
      <c r="A58" s="46">
        <v>45563</v>
      </c>
      <c r="B58" s="47">
        <v>27</v>
      </c>
      <c r="C58" s="48">
        <v>1200</v>
      </c>
      <c r="D58" s="48">
        <v>1960</v>
      </c>
      <c r="E58" s="49">
        <v>0.33333333333333331</v>
      </c>
      <c r="F58" s="47">
        <f t="shared" si="1"/>
        <v>45.533333333333331</v>
      </c>
      <c r="G58" s="50" t="s">
        <v>140</v>
      </c>
      <c r="H58" s="50" t="s">
        <v>43</v>
      </c>
      <c r="I58" s="49" t="s">
        <v>45</v>
      </c>
      <c r="J58" s="49" t="s">
        <v>187</v>
      </c>
      <c r="K58" s="50" t="s">
        <v>188</v>
      </c>
      <c r="L58" s="51" t="s">
        <v>190</v>
      </c>
      <c r="M58" s="51" t="s">
        <v>368</v>
      </c>
      <c r="N58" s="51" t="s">
        <v>447</v>
      </c>
      <c r="O58" s="51" t="s">
        <v>207</v>
      </c>
      <c r="P58" s="51"/>
    </row>
    <row r="59" spans="1:16" ht="30" x14ac:dyDescent="0.25">
      <c r="A59" s="15">
        <v>45597</v>
      </c>
      <c r="B59" s="35">
        <v>24.8</v>
      </c>
      <c r="C59" s="16">
        <v>860</v>
      </c>
      <c r="D59" s="16">
        <v>550</v>
      </c>
      <c r="E59" s="17">
        <v>0.22916666666666666</v>
      </c>
      <c r="F59" s="35">
        <f t="shared" si="1"/>
        <v>35.233333333333334</v>
      </c>
      <c r="G59" s="17" t="s">
        <v>140</v>
      </c>
      <c r="H59" s="17" t="s">
        <v>43</v>
      </c>
      <c r="I59" s="17" t="s">
        <v>172</v>
      </c>
      <c r="J59" s="17" t="s">
        <v>209</v>
      </c>
      <c r="K59" s="25" t="s">
        <v>211</v>
      </c>
      <c r="L59" s="18" t="s">
        <v>210</v>
      </c>
      <c r="M59" s="18" t="s">
        <v>208</v>
      </c>
      <c r="N59" s="18" t="s">
        <v>447</v>
      </c>
      <c r="O59" s="18" t="s">
        <v>103</v>
      </c>
      <c r="P59" s="18"/>
    </row>
    <row r="60" spans="1:16" ht="30" x14ac:dyDescent="0.25">
      <c r="A60" s="15">
        <v>45598</v>
      </c>
      <c r="B60" s="35">
        <v>42.1</v>
      </c>
      <c r="C60" s="16">
        <v>940</v>
      </c>
      <c r="D60" s="16">
        <v>830</v>
      </c>
      <c r="E60" s="17">
        <v>0.4375</v>
      </c>
      <c r="F60" s="35">
        <f t="shared" si="1"/>
        <v>54.266666666666666</v>
      </c>
      <c r="G60" s="17" t="s">
        <v>140</v>
      </c>
      <c r="H60" s="17" t="s">
        <v>43</v>
      </c>
      <c r="I60" s="17" t="s">
        <v>172</v>
      </c>
      <c r="J60" s="17" t="s">
        <v>209</v>
      </c>
      <c r="K60" s="25" t="s">
        <v>218</v>
      </c>
      <c r="L60" s="18" t="s">
        <v>212</v>
      </c>
      <c r="M60" s="18" t="s">
        <v>208</v>
      </c>
      <c r="N60" s="18" t="s">
        <v>447</v>
      </c>
      <c r="O60" s="18" t="s">
        <v>103</v>
      </c>
      <c r="P60" s="18"/>
    </row>
    <row r="61" spans="1:16" x14ac:dyDescent="0.25">
      <c r="A61" s="15">
        <v>45599</v>
      </c>
      <c r="B61" s="35">
        <v>48.9</v>
      </c>
      <c r="C61" s="16">
        <v>1210</v>
      </c>
      <c r="D61" s="16">
        <v>1160</v>
      </c>
      <c r="E61" s="17">
        <v>0.46875</v>
      </c>
      <c r="F61" s="35">
        <f t="shared" si="1"/>
        <v>64.86666666666666</v>
      </c>
      <c r="G61" s="17" t="s">
        <v>140</v>
      </c>
      <c r="H61" s="17" t="s">
        <v>43</v>
      </c>
      <c r="I61" s="17" t="s">
        <v>172</v>
      </c>
      <c r="J61" s="17" t="s">
        <v>209</v>
      </c>
      <c r="K61" s="25" t="s">
        <v>219</v>
      </c>
      <c r="L61" s="18" t="s">
        <v>213</v>
      </c>
      <c r="M61" s="18" t="s">
        <v>208</v>
      </c>
      <c r="N61" s="18" t="s">
        <v>447</v>
      </c>
      <c r="O61" s="18" t="s">
        <v>103</v>
      </c>
      <c r="P61" s="18"/>
    </row>
    <row r="62" spans="1:16" ht="30" x14ac:dyDescent="0.25">
      <c r="A62" s="15">
        <v>45600</v>
      </c>
      <c r="B62" s="35">
        <v>44.3</v>
      </c>
      <c r="C62" s="16">
        <v>1520</v>
      </c>
      <c r="D62" s="16">
        <v>1130</v>
      </c>
      <c r="E62" s="17">
        <v>0.46527777777777773</v>
      </c>
      <c r="F62" s="35">
        <f t="shared" si="1"/>
        <v>63.266666666666666</v>
      </c>
      <c r="G62" s="17" t="s">
        <v>140</v>
      </c>
      <c r="H62" s="17" t="s">
        <v>43</v>
      </c>
      <c r="I62" s="17" t="s">
        <v>172</v>
      </c>
      <c r="J62" s="17" t="s">
        <v>209</v>
      </c>
      <c r="K62" s="25" t="s">
        <v>220</v>
      </c>
      <c r="L62" s="18" t="s">
        <v>214</v>
      </c>
      <c r="M62" s="18" t="s">
        <v>208</v>
      </c>
      <c r="N62" s="18" t="s">
        <v>447</v>
      </c>
      <c r="O62" s="18" t="s">
        <v>103</v>
      </c>
      <c r="P62" s="18"/>
    </row>
    <row r="63" spans="1:16" ht="30" x14ac:dyDescent="0.25">
      <c r="A63" s="15">
        <v>45601</v>
      </c>
      <c r="B63" s="35">
        <v>46.9</v>
      </c>
      <c r="C63" s="16">
        <v>1010</v>
      </c>
      <c r="D63" s="16">
        <v>1780</v>
      </c>
      <c r="E63" s="17">
        <v>0.49305555555555558</v>
      </c>
      <c r="F63" s="35">
        <f t="shared" si="1"/>
        <v>62.933333333333337</v>
      </c>
      <c r="G63" s="17" t="s">
        <v>140</v>
      </c>
      <c r="H63" s="17" t="s">
        <v>43</v>
      </c>
      <c r="I63" s="17" t="s">
        <v>172</v>
      </c>
      <c r="J63" s="17" t="s">
        <v>209</v>
      </c>
      <c r="K63" s="25" t="s">
        <v>221</v>
      </c>
      <c r="L63" s="18" t="s">
        <v>215</v>
      </c>
      <c r="M63" s="18" t="s">
        <v>208</v>
      </c>
      <c r="N63" s="18" t="s">
        <v>447</v>
      </c>
      <c r="O63" s="18" t="s">
        <v>103</v>
      </c>
      <c r="P63" s="18"/>
    </row>
    <row r="64" spans="1:16" ht="45" x14ac:dyDescent="0.25">
      <c r="A64" s="15">
        <v>45602</v>
      </c>
      <c r="B64" s="35">
        <v>47.1</v>
      </c>
      <c r="C64" s="16">
        <v>1220</v>
      </c>
      <c r="D64" s="16">
        <v>1670</v>
      </c>
      <c r="E64" s="17">
        <v>0.47569444444444442</v>
      </c>
      <c r="F64" s="35">
        <f t="shared" si="1"/>
        <v>64.86666666666666</v>
      </c>
      <c r="G64" s="17" t="s">
        <v>140</v>
      </c>
      <c r="H64" s="17" t="s">
        <v>43</v>
      </c>
      <c r="I64" s="17" t="s">
        <v>172</v>
      </c>
      <c r="J64" s="17" t="s">
        <v>209</v>
      </c>
      <c r="K64" s="25" t="s">
        <v>222</v>
      </c>
      <c r="L64" s="18" t="s">
        <v>216</v>
      </c>
      <c r="M64" s="18" t="s">
        <v>208</v>
      </c>
      <c r="N64" s="18" t="s">
        <v>447</v>
      </c>
      <c r="O64" s="18" t="s">
        <v>103</v>
      </c>
      <c r="P64" s="18" t="s">
        <v>227</v>
      </c>
    </row>
    <row r="65" spans="1:16" x14ac:dyDescent="0.25">
      <c r="A65" s="15">
        <v>45603</v>
      </c>
      <c r="B65" s="35">
        <v>23.5</v>
      </c>
      <c r="C65" s="16">
        <v>750</v>
      </c>
      <c r="D65" s="16">
        <v>870</v>
      </c>
      <c r="E65" s="17">
        <v>0.26041666666666669</v>
      </c>
      <c r="F65" s="35">
        <f t="shared" si="1"/>
        <v>33.9</v>
      </c>
      <c r="G65" s="17" t="s">
        <v>140</v>
      </c>
      <c r="H65" s="17" t="s">
        <v>43</v>
      </c>
      <c r="I65" s="17" t="s">
        <v>172</v>
      </c>
      <c r="J65" s="17" t="s">
        <v>209</v>
      </c>
      <c r="K65" s="25" t="s">
        <v>223</v>
      </c>
      <c r="L65" s="18" t="s">
        <v>217</v>
      </c>
      <c r="M65" s="18" t="s">
        <v>208</v>
      </c>
      <c r="N65" s="18" t="s">
        <v>447</v>
      </c>
      <c r="O65" s="18" t="s">
        <v>103</v>
      </c>
      <c r="P65" s="18"/>
    </row>
    <row r="66" spans="1:16" x14ac:dyDescent="0.25">
      <c r="A66" s="36">
        <v>45641</v>
      </c>
      <c r="B66" s="37">
        <v>9.4</v>
      </c>
      <c r="C66" s="38">
        <v>840</v>
      </c>
      <c r="D66" s="38">
        <v>840</v>
      </c>
      <c r="E66" s="23">
        <v>0.19444444444444445</v>
      </c>
      <c r="F66" s="37">
        <f t="shared" ref="F66:F86" si="2">B66+C66/100+D66/300</f>
        <v>20.6</v>
      </c>
      <c r="G66" s="23" t="s">
        <v>140</v>
      </c>
      <c r="H66" s="23" t="s">
        <v>43</v>
      </c>
      <c r="I66" s="23" t="s">
        <v>45</v>
      </c>
      <c r="J66" s="23" t="s">
        <v>228</v>
      </c>
      <c r="K66" s="21" t="s">
        <v>229</v>
      </c>
      <c r="L66" s="19" t="s">
        <v>230</v>
      </c>
      <c r="M66" s="19"/>
      <c r="N66" s="19" t="s">
        <v>445</v>
      </c>
      <c r="O66" s="19" t="s">
        <v>206</v>
      </c>
      <c r="P66" s="19" t="s">
        <v>435</v>
      </c>
    </row>
    <row r="67" spans="1:16" x14ac:dyDescent="0.25">
      <c r="A67" s="15">
        <v>45660</v>
      </c>
      <c r="B67" s="35">
        <v>21</v>
      </c>
      <c r="C67" s="16">
        <v>800</v>
      </c>
      <c r="D67" s="16">
        <v>800</v>
      </c>
      <c r="E67" s="17">
        <v>0.26041666666666669</v>
      </c>
      <c r="F67" s="35">
        <f t="shared" si="2"/>
        <v>31.666666666666668</v>
      </c>
      <c r="G67" s="17" t="s">
        <v>232</v>
      </c>
      <c r="H67" s="17" t="s">
        <v>43</v>
      </c>
      <c r="I67" s="17" t="s">
        <v>233</v>
      </c>
      <c r="J67" s="17" t="s">
        <v>233</v>
      </c>
      <c r="K67" s="25" t="s">
        <v>234</v>
      </c>
      <c r="L67" s="18" t="s">
        <v>235</v>
      </c>
      <c r="M67" s="18" t="s">
        <v>331</v>
      </c>
      <c r="N67" s="18" t="s">
        <v>445</v>
      </c>
      <c r="O67" s="18" t="s">
        <v>206</v>
      </c>
      <c r="P67" s="18" t="s">
        <v>443</v>
      </c>
    </row>
    <row r="68" spans="1:16" ht="30" x14ac:dyDescent="0.25">
      <c r="A68" s="36">
        <v>45675</v>
      </c>
      <c r="B68" s="37">
        <v>27.2</v>
      </c>
      <c r="C68" s="38">
        <v>1980</v>
      </c>
      <c r="D68" s="38">
        <v>1980</v>
      </c>
      <c r="E68" s="23">
        <v>0.35416666666666669</v>
      </c>
      <c r="F68" s="37">
        <f t="shared" si="2"/>
        <v>53.6</v>
      </c>
      <c r="G68" s="23" t="s">
        <v>232</v>
      </c>
      <c r="H68" s="23" t="s">
        <v>43</v>
      </c>
      <c r="I68" s="23" t="s">
        <v>45</v>
      </c>
      <c r="J68" s="23" t="s">
        <v>251</v>
      </c>
      <c r="K68" s="21" t="s">
        <v>252</v>
      </c>
      <c r="L68" s="19" t="s">
        <v>253</v>
      </c>
      <c r="M68" s="19" t="s">
        <v>329</v>
      </c>
      <c r="N68" s="19" t="s">
        <v>445</v>
      </c>
      <c r="O68" s="19" t="s">
        <v>103</v>
      </c>
      <c r="P68" s="19"/>
    </row>
    <row r="69" spans="1:16" x14ac:dyDescent="0.25">
      <c r="A69" s="15">
        <v>45689</v>
      </c>
      <c r="B69" s="35">
        <v>5.3</v>
      </c>
      <c r="C69" s="16">
        <v>730</v>
      </c>
      <c r="D69" s="16">
        <v>20</v>
      </c>
      <c r="E69" s="17">
        <v>6.25E-2</v>
      </c>
      <c r="F69" s="35">
        <f t="shared" si="2"/>
        <v>12.666666666666666</v>
      </c>
      <c r="G69" s="17" t="s">
        <v>232</v>
      </c>
      <c r="H69" s="17" t="s">
        <v>43</v>
      </c>
      <c r="I69" s="17" t="s">
        <v>45</v>
      </c>
      <c r="J69" s="17" t="s">
        <v>251</v>
      </c>
      <c r="K69" s="25" t="s">
        <v>260</v>
      </c>
      <c r="L69" s="18" t="s">
        <v>261</v>
      </c>
      <c r="M69" s="18" t="s">
        <v>365</v>
      </c>
      <c r="N69" s="18" t="s">
        <v>447</v>
      </c>
      <c r="O69" s="18" t="s">
        <v>103</v>
      </c>
      <c r="P69" s="18" t="s">
        <v>438</v>
      </c>
    </row>
    <row r="70" spans="1:16" x14ac:dyDescent="0.25">
      <c r="A70" s="15">
        <v>45689</v>
      </c>
      <c r="B70" s="35">
        <v>19.899999999999999</v>
      </c>
      <c r="C70" s="16">
        <v>790</v>
      </c>
      <c r="D70" s="16">
        <v>1500</v>
      </c>
      <c r="E70" s="17">
        <v>0.25</v>
      </c>
      <c r="F70" s="35">
        <f t="shared" si="2"/>
        <v>32.799999999999997</v>
      </c>
      <c r="G70" s="17" t="s">
        <v>232</v>
      </c>
      <c r="H70" s="17" t="s">
        <v>43</v>
      </c>
      <c r="I70" s="17" t="s">
        <v>45</v>
      </c>
      <c r="J70" s="17" t="s">
        <v>251</v>
      </c>
      <c r="K70" s="25" t="s">
        <v>260</v>
      </c>
      <c r="L70" s="18" t="s">
        <v>402</v>
      </c>
      <c r="M70" s="18" t="s">
        <v>365</v>
      </c>
      <c r="N70" s="18" t="s">
        <v>447</v>
      </c>
      <c r="O70" s="18" t="s">
        <v>103</v>
      </c>
      <c r="P70" s="18"/>
    </row>
    <row r="71" spans="1:16" x14ac:dyDescent="0.25">
      <c r="A71" s="36">
        <v>45697</v>
      </c>
      <c r="B71" s="37">
        <v>24.3</v>
      </c>
      <c r="C71" s="38">
        <v>1380</v>
      </c>
      <c r="D71" s="38">
        <v>1380</v>
      </c>
      <c r="E71" s="23">
        <v>0.33333333333333331</v>
      </c>
      <c r="F71" s="37">
        <f t="shared" si="2"/>
        <v>42.7</v>
      </c>
      <c r="G71" s="23" t="s">
        <v>232</v>
      </c>
      <c r="H71" s="23" t="s">
        <v>43</v>
      </c>
      <c r="I71" s="23" t="s">
        <v>233</v>
      </c>
      <c r="J71" s="23" t="s">
        <v>233</v>
      </c>
      <c r="K71" s="21" t="s">
        <v>326</v>
      </c>
      <c r="L71" s="19" t="s">
        <v>327</v>
      </c>
      <c r="M71" s="19" t="s">
        <v>374</v>
      </c>
      <c r="N71" s="19" t="s">
        <v>445</v>
      </c>
      <c r="O71" s="19" t="s">
        <v>328</v>
      </c>
      <c r="P71" s="19"/>
    </row>
    <row r="72" spans="1:16" x14ac:dyDescent="0.25">
      <c r="A72" s="15">
        <v>45703</v>
      </c>
      <c r="B72" s="35">
        <v>7</v>
      </c>
      <c r="C72" s="16">
        <v>600</v>
      </c>
      <c r="D72" s="16">
        <v>300</v>
      </c>
      <c r="E72" s="17">
        <v>0.29166666666666669</v>
      </c>
      <c r="F72" s="35">
        <f t="shared" si="2"/>
        <v>14</v>
      </c>
      <c r="G72" s="17" t="s">
        <v>232</v>
      </c>
      <c r="H72" s="17" t="s">
        <v>43</v>
      </c>
      <c r="I72" s="17" t="s">
        <v>45</v>
      </c>
      <c r="J72" s="17" t="s">
        <v>50</v>
      </c>
      <c r="K72" s="25" t="s">
        <v>66</v>
      </c>
      <c r="L72" s="18" t="s">
        <v>332</v>
      </c>
      <c r="M72" s="18" t="s">
        <v>366</v>
      </c>
      <c r="N72" s="18" t="s">
        <v>446</v>
      </c>
      <c r="O72" s="18" t="s">
        <v>206</v>
      </c>
      <c r="P72" s="18" t="s">
        <v>442</v>
      </c>
    </row>
    <row r="73" spans="1:16" x14ac:dyDescent="0.25">
      <c r="A73" s="15">
        <v>45704</v>
      </c>
      <c r="B73" s="35">
        <v>7</v>
      </c>
      <c r="C73" s="16">
        <v>400</v>
      </c>
      <c r="D73" s="16">
        <v>700</v>
      </c>
      <c r="E73" s="17">
        <v>0.20833333333333334</v>
      </c>
      <c r="F73" s="35">
        <f t="shared" si="2"/>
        <v>13.333333333333334</v>
      </c>
      <c r="G73" s="17" t="s">
        <v>232</v>
      </c>
      <c r="H73" s="17" t="s">
        <v>43</v>
      </c>
      <c r="I73" s="17" t="s">
        <v>45</v>
      </c>
      <c r="J73" s="17" t="s">
        <v>50</v>
      </c>
      <c r="K73" s="25" t="s">
        <v>66</v>
      </c>
      <c r="L73" s="18" t="s">
        <v>333</v>
      </c>
      <c r="M73" s="18" t="s">
        <v>366</v>
      </c>
      <c r="N73" s="18" t="s">
        <v>446</v>
      </c>
      <c r="O73" s="18" t="s">
        <v>206</v>
      </c>
      <c r="P73" s="18"/>
    </row>
    <row r="74" spans="1:16" x14ac:dyDescent="0.25">
      <c r="A74" s="46">
        <v>45715</v>
      </c>
      <c r="B74" s="47">
        <v>21.1</v>
      </c>
      <c r="C74" s="48">
        <v>590</v>
      </c>
      <c r="D74" s="48">
        <v>360</v>
      </c>
      <c r="E74" s="49">
        <v>0.19444444444444445</v>
      </c>
      <c r="F74" s="47">
        <f t="shared" si="2"/>
        <v>28.2</v>
      </c>
      <c r="G74" s="49" t="s">
        <v>140</v>
      </c>
      <c r="H74" s="49" t="s">
        <v>43</v>
      </c>
      <c r="I74" s="49" t="s">
        <v>172</v>
      </c>
      <c r="J74" s="49" t="s">
        <v>369</v>
      </c>
      <c r="K74" s="50" t="s">
        <v>370</v>
      </c>
      <c r="L74" s="51" t="s">
        <v>372</v>
      </c>
      <c r="M74" s="51" t="s">
        <v>421</v>
      </c>
      <c r="N74" s="51" t="s">
        <v>447</v>
      </c>
      <c r="O74" s="51" t="s">
        <v>103</v>
      </c>
      <c r="P74" s="51"/>
    </row>
    <row r="75" spans="1:16" x14ac:dyDescent="0.25">
      <c r="A75" s="46">
        <v>45716</v>
      </c>
      <c r="B75" s="47">
        <v>35</v>
      </c>
      <c r="C75" s="48">
        <v>1280</v>
      </c>
      <c r="D75" s="48">
        <v>1290</v>
      </c>
      <c r="E75" s="49">
        <v>0.33333333333333331</v>
      </c>
      <c r="F75" s="47">
        <f t="shared" si="2"/>
        <v>52.099999999999994</v>
      </c>
      <c r="G75" s="49" t="s">
        <v>140</v>
      </c>
      <c r="H75" s="49" t="s">
        <v>43</v>
      </c>
      <c r="I75" s="49" t="s">
        <v>172</v>
      </c>
      <c r="J75" s="49" t="s">
        <v>369</v>
      </c>
      <c r="K75" s="50" t="s">
        <v>371</v>
      </c>
      <c r="L75" s="51" t="s">
        <v>375</v>
      </c>
      <c r="M75" s="51" t="s">
        <v>421</v>
      </c>
      <c r="N75" s="51" t="s">
        <v>447</v>
      </c>
      <c r="O75" s="51" t="s">
        <v>103</v>
      </c>
      <c r="P75" s="51"/>
    </row>
    <row r="76" spans="1:16" ht="30" x14ac:dyDescent="0.25">
      <c r="A76" s="15">
        <v>45718</v>
      </c>
      <c r="B76" s="35">
        <v>21.4</v>
      </c>
      <c r="C76" s="16">
        <v>1260</v>
      </c>
      <c r="D76" s="16">
        <v>1260</v>
      </c>
      <c r="E76" s="17">
        <v>0.34027777777777773</v>
      </c>
      <c r="F76" s="35">
        <f t="shared" si="2"/>
        <v>38.200000000000003</v>
      </c>
      <c r="G76" s="17" t="s">
        <v>232</v>
      </c>
      <c r="H76" s="17" t="s">
        <v>43</v>
      </c>
      <c r="I76" s="17" t="s">
        <v>45</v>
      </c>
      <c r="J76" s="17" t="s">
        <v>164</v>
      </c>
      <c r="K76" s="25" t="s">
        <v>377</v>
      </c>
      <c r="L76" s="18" t="s">
        <v>376</v>
      </c>
      <c r="M76" s="18" t="s">
        <v>379</v>
      </c>
      <c r="N76" s="18" t="s">
        <v>445</v>
      </c>
      <c r="O76" s="18" t="s">
        <v>378</v>
      </c>
      <c r="P76" s="18"/>
    </row>
    <row r="77" spans="1:16" x14ac:dyDescent="0.25">
      <c r="A77" s="36">
        <v>45732</v>
      </c>
      <c r="B77" s="37">
        <v>15.9</v>
      </c>
      <c r="C77" s="38">
        <v>520</v>
      </c>
      <c r="D77" s="38">
        <v>520</v>
      </c>
      <c r="E77" s="23">
        <v>0.16666666666666666</v>
      </c>
      <c r="F77" s="37">
        <f t="shared" si="2"/>
        <v>22.833333333333336</v>
      </c>
      <c r="G77" s="23" t="s">
        <v>140</v>
      </c>
      <c r="H77" s="23" t="s">
        <v>43</v>
      </c>
      <c r="I77" s="23" t="s">
        <v>172</v>
      </c>
      <c r="J77" s="23" t="s">
        <v>382</v>
      </c>
      <c r="K77" s="21" t="s">
        <v>383</v>
      </c>
      <c r="L77" s="19" t="s">
        <v>384</v>
      </c>
      <c r="M77" s="19" t="s">
        <v>385</v>
      </c>
      <c r="N77" s="19" t="s">
        <v>445</v>
      </c>
      <c r="O77" s="19" t="s">
        <v>206</v>
      </c>
      <c r="P77" s="19"/>
    </row>
    <row r="78" spans="1:16" x14ac:dyDescent="0.25">
      <c r="A78" s="15">
        <v>45746</v>
      </c>
      <c r="B78" s="35">
        <v>23.4</v>
      </c>
      <c r="C78" s="16">
        <v>1290</v>
      </c>
      <c r="D78" s="16">
        <v>1290</v>
      </c>
      <c r="E78" s="17">
        <v>0.3125</v>
      </c>
      <c r="F78" s="35">
        <f t="shared" si="2"/>
        <v>40.599999999999994</v>
      </c>
      <c r="G78" s="17" t="s">
        <v>232</v>
      </c>
      <c r="H78" s="17" t="s">
        <v>43</v>
      </c>
      <c r="I78" s="17" t="s">
        <v>45</v>
      </c>
      <c r="J78" s="17" t="s">
        <v>391</v>
      </c>
      <c r="K78" s="25" t="s">
        <v>392</v>
      </c>
      <c r="L78" s="18" t="s">
        <v>390</v>
      </c>
      <c r="M78" s="18"/>
      <c r="N78" s="18" t="s">
        <v>445</v>
      </c>
      <c r="O78" s="18" t="s">
        <v>206</v>
      </c>
      <c r="P78" s="18"/>
    </row>
    <row r="79" spans="1:16" x14ac:dyDescent="0.25">
      <c r="A79" s="46">
        <v>45767</v>
      </c>
      <c r="B79" s="47">
        <v>16.7</v>
      </c>
      <c r="C79" s="48">
        <v>1140</v>
      </c>
      <c r="D79" s="48">
        <v>180</v>
      </c>
      <c r="E79" s="49">
        <v>0.22916666666666666</v>
      </c>
      <c r="F79" s="47">
        <f t="shared" si="2"/>
        <v>28.700000000000003</v>
      </c>
      <c r="G79" s="49" t="s">
        <v>232</v>
      </c>
      <c r="H79" s="49" t="s">
        <v>43</v>
      </c>
      <c r="I79" s="49" t="s">
        <v>172</v>
      </c>
      <c r="J79" s="49" t="s">
        <v>186</v>
      </c>
      <c r="K79" s="50" t="s">
        <v>403</v>
      </c>
      <c r="L79" s="51" t="s">
        <v>405</v>
      </c>
      <c r="M79" s="51" t="s">
        <v>420</v>
      </c>
      <c r="N79" s="51" t="s">
        <v>447</v>
      </c>
      <c r="O79" s="51" t="s">
        <v>206</v>
      </c>
      <c r="P79" s="51" t="s">
        <v>436</v>
      </c>
    </row>
    <row r="80" spans="1:16" x14ac:dyDescent="0.25">
      <c r="A80" s="46">
        <v>45768</v>
      </c>
      <c r="B80" s="47">
        <v>22.5</v>
      </c>
      <c r="C80" s="48">
        <v>60</v>
      </c>
      <c r="D80" s="48">
        <v>1230</v>
      </c>
      <c r="E80" s="49">
        <v>0.2986111111111111</v>
      </c>
      <c r="F80" s="47">
        <f t="shared" si="2"/>
        <v>27.200000000000003</v>
      </c>
      <c r="G80" s="49" t="s">
        <v>232</v>
      </c>
      <c r="H80" s="49" t="s">
        <v>43</v>
      </c>
      <c r="I80" s="49" t="s">
        <v>172</v>
      </c>
      <c r="J80" s="49" t="s">
        <v>186</v>
      </c>
      <c r="K80" s="50" t="s">
        <v>404</v>
      </c>
      <c r="L80" s="51" t="s">
        <v>406</v>
      </c>
      <c r="M80" s="51" t="s">
        <v>420</v>
      </c>
      <c r="N80" s="51" t="s">
        <v>447</v>
      </c>
      <c r="O80" s="51" t="s">
        <v>206</v>
      </c>
      <c r="P80" s="51"/>
    </row>
    <row r="81" spans="1:16" x14ac:dyDescent="0.25">
      <c r="A81" s="15">
        <v>45773</v>
      </c>
      <c r="B81" s="35">
        <v>27.4</v>
      </c>
      <c r="C81" s="16">
        <v>2270</v>
      </c>
      <c r="D81" s="16">
        <v>920</v>
      </c>
      <c r="E81" s="17">
        <v>0.35416666666666669</v>
      </c>
      <c r="F81" s="35">
        <f t="shared" si="2"/>
        <v>53.166666666666664</v>
      </c>
      <c r="G81" s="17" t="s">
        <v>232</v>
      </c>
      <c r="H81" s="17" t="s">
        <v>43</v>
      </c>
      <c r="I81" s="17" t="s">
        <v>45</v>
      </c>
      <c r="J81" s="17" t="s">
        <v>251</v>
      </c>
      <c r="K81" s="25" t="s">
        <v>260</v>
      </c>
      <c r="L81" s="18" t="s">
        <v>418</v>
      </c>
      <c r="M81" s="18" t="s">
        <v>236</v>
      </c>
      <c r="N81" s="18" t="s">
        <v>447</v>
      </c>
      <c r="O81" s="18" t="s">
        <v>103</v>
      </c>
      <c r="P81" s="18"/>
    </row>
    <row r="82" spans="1:16" x14ac:dyDescent="0.25">
      <c r="A82" s="15">
        <v>45774</v>
      </c>
      <c r="B82" s="35">
        <v>29.1</v>
      </c>
      <c r="C82" s="16">
        <v>1160</v>
      </c>
      <c r="D82" s="16">
        <v>2490</v>
      </c>
      <c r="E82" s="17">
        <v>0.33333333333333331</v>
      </c>
      <c r="F82" s="35">
        <f t="shared" si="2"/>
        <v>49</v>
      </c>
      <c r="G82" s="17" t="s">
        <v>232</v>
      </c>
      <c r="H82" s="17" t="s">
        <v>43</v>
      </c>
      <c r="I82" s="17" t="s">
        <v>45</v>
      </c>
      <c r="J82" s="17" t="s">
        <v>251</v>
      </c>
      <c r="K82" s="25" t="s">
        <v>417</v>
      </c>
      <c r="L82" s="18" t="s">
        <v>419</v>
      </c>
      <c r="M82" s="18" t="s">
        <v>236</v>
      </c>
      <c r="N82" s="18" t="s">
        <v>447</v>
      </c>
      <c r="O82" s="18" t="s">
        <v>103</v>
      </c>
      <c r="P82" s="18"/>
    </row>
    <row r="83" spans="1:16" ht="30" x14ac:dyDescent="0.25">
      <c r="A83" s="46">
        <v>45778</v>
      </c>
      <c r="B83" s="47">
        <v>20</v>
      </c>
      <c r="C83" s="48">
        <v>1850</v>
      </c>
      <c r="D83" s="48">
        <v>590</v>
      </c>
      <c r="E83" s="49" t="s">
        <v>434</v>
      </c>
      <c r="F83" s="47">
        <f t="shared" si="2"/>
        <v>40.466666666666669</v>
      </c>
      <c r="G83" s="49" t="s">
        <v>232</v>
      </c>
      <c r="H83" s="49" t="s">
        <v>43</v>
      </c>
      <c r="I83" s="49" t="s">
        <v>45</v>
      </c>
      <c r="J83" s="49" t="s">
        <v>251</v>
      </c>
      <c r="K83" s="50" t="s">
        <v>426</v>
      </c>
      <c r="L83" s="51" t="s">
        <v>430</v>
      </c>
      <c r="M83" s="51" t="s">
        <v>441</v>
      </c>
      <c r="N83" s="51" t="s">
        <v>447</v>
      </c>
      <c r="O83" s="51" t="s">
        <v>206</v>
      </c>
      <c r="P83" s="51"/>
    </row>
    <row r="84" spans="1:16" ht="30" x14ac:dyDescent="0.25">
      <c r="A84" s="46">
        <v>45779</v>
      </c>
      <c r="B84" s="47">
        <v>22.713200000000001</v>
      </c>
      <c r="C84" s="48">
        <v>1320</v>
      </c>
      <c r="D84" s="48">
        <v>1170</v>
      </c>
      <c r="E84" s="49">
        <v>0.42708333333333331</v>
      </c>
      <c r="F84" s="47">
        <f t="shared" si="2"/>
        <v>39.813200000000002</v>
      </c>
      <c r="G84" s="49" t="s">
        <v>232</v>
      </c>
      <c r="H84" s="49" t="s">
        <v>43</v>
      </c>
      <c r="I84" s="49" t="s">
        <v>45</v>
      </c>
      <c r="J84" s="49" t="s">
        <v>251</v>
      </c>
      <c r="K84" s="50" t="s">
        <v>427</v>
      </c>
      <c r="L84" s="51" t="s">
        <v>431</v>
      </c>
      <c r="M84" s="51" t="s">
        <v>441</v>
      </c>
      <c r="N84" s="51" t="s">
        <v>447</v>
      </c>
      <c r="O84" s="51" t="s">
        <v>206</v>
      </c>
      <c r="P84" s="51"/>
    </row>
    <row r="85" spans="1:16" ht="30" x14ac:dyDescent="0.25">
      <c r="A85" s="46">
        <v>45780</v>
      </c>
      <c r="B85" s="47">
        <v>25.6</v>
      </c>
      <c r="C85" s="48">
        <v>850</v>
      </c>
      <c r="D85" s="48">
        <v>1580</v>
      </c>
      <c r="E85" s="49">
        <v>0.41666666666666669</v>
      </c>
      <c r="F85" s="47">
        <f t="shared" si="2"/>
        <v>39.366666666666667</v>
      </c>
      <c r="G85" s="49" t="s">
        <v>232</v>
      </c>
      <c r="H85" s="49" t="s">
        <v>43</v>
      </c>
      <c r="I85" s="49" t="s">
        <v>45</v>
      </c>
      <c r="J85" s="49" t="s">
        <v>251</v>
      </c>
      <c r="K85" s="50" t="s">
        <v>429</v>
      </c>
      <c r="L85" s="51" t="s">
        <v>432</v>
      </c>
      <c r="M85" s="51" t="s">
        <v>441</v>
      </c>
      <c r="N85" s="51" t="s">
        <v>447</v>
      </c>
      <c r="O85" s="51" t="s">
        <v>206</v>
      </c>
      <c r="P85" s="51" t="s">
        <v>437</v>
      </c>
    </row>
    <row r="86" spans="1:16" ht="30" x14ac:dyDescent="0.25">
      <c r="A86" s="46">
        <v>45781</v>
      </c>
      <c r="B86" s="47">
        <v>18.399999999999999</v>
      </c>
      <c r="C86" s="48">
        <v>490</v>
      </c>
      <c r="D86" s="48">
        <v>1120</v>
      </c>
      <c r="E86" s="49">
        <v>0.25</v>
      </c>
      <c r="F86" s="47">
        <f t="shared" si="2"/>
        <v>27.033333333333331</v>
      </c>
      <c r="G86" s="49" t="s">
        <v>232</v>
      </c>
      <c r="H86" s="49" t="s">
        <v>43</v>
      </c>
      <c r="I86" s="49" t="s">
        <v>45</v>
      </c>
      <c r="J86" s="49" t="s">
        <v>251</v>
      </c>
      <c r="K86" s="50" t="s">
        <v>428</v>
      </c>
      <c r="L86" s="51" t="s">
        <v>433</v>
      </c>
      <c r="M86" s="51" t="s">
        <v>441</v>
      </c>
      <c r="N86" s="51" t="s">
        <v>447</v>
      </c>
      <c r="O86" s="51" t="s">
        <v>206</v>
      </c>
      <c r="P86" s="51"/>
    </row>
  </sheetData>
  <autoFilter ref="A1:P70" xr:uid="{00000000-0009-0000-0000-000000000000}">
    <sortState xmlns:xlrd2="http://schemas.microsoft.com/office/spreadsheetml/2017/richdata2" ref="A2:P82">
      <sortCondition ref="A1:A6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4" workbookViewId="0">
      <selection activeCell="A26" sqref="A26"/>
    </sheetView>
  </sheetViews>
  <sheetFormatPr baseColWidth="10" defaultRowHeight="15" x14ac:dyDescent="0.25"/>
  <cols>
    <col min="1" max="1" width="36.85546875" style="4" bestFit="1" customWidth="1"/>
    <col min="2" max="2" width="33.140625" style="4" bestFit="1" customWidth="1"/>
    <col min="3" max="3" width="29.42578125" style="4" bestFit="1" customWidth="1"/>
    <col min="4" max="4" width="2.28515625" style="1" customWidth="1"/>
  </cols>
  <sheetData>
    <row r="1" spans="1:4" ht="18.75" thickBot="1" x14ac:dyDescent="0.3">
      <c r="A1" s="13" t="s">
        <v>6</v>
      </c>
      <c r="B1" s="13" t="s">
        <v>8</v>
      </c>
      <c r="C1" s="13" t="s">
        <v>82</v>
      </c>
      <c r="D1" s="13" t="s">
        <v>117</v>
      </c>
    </row>
    <row r="2" spans="1:4" x14ac:dyDescent="0.25">
      <c r="A2" s="4" t="s">
        <v>37</v>
      </c>
      <c r="B2" s="4" t="s">
        <v>22</v>
      </c>
      <c r="C2" s="4" t="s">
        <v>93</v>
      </c>
      <c r="D2" s="14">
        <f t="shared" ref="D2:D30" si="0">IF(C2="Z", 1, IF(C2="S", 2, IF(C2="A", 3, IF(C2="B", 4, IF(C2="C", 5, IF(C2="D", 6, 7))))))</f>
        <v>1</v>
      </c>
    </row>
    <row r="3" spans="1:4" x14ac:dyDescent="0.25">
      <c r="A3" s="4" t="s">
        <v>38</v>
      </c>
      <c r="B3" s="4" t="s">
        <v>21</v>
      </c>
      <c r="C3" s="4" t="s">
        <v>93</v>
      </c>
      <c r="D3" s="14">
        <f t="shared" si="0"/>
        <v>1</v>
      </c>
    </row>
    <row r="4" spans="1:4" x14ac:dyDescent="0.25">
      <c r="A4" s="4" t="s">
        <v>192</v>
      </c>
      <c r="B4" s="4" t="s">
        <v>193</v>
      </c>
      <c r="C4" s="4" t="s">
        <v>93</v>
      </c>
      <c r="D4" s="14">
        <f t="shared" si="0"/>
        <v>1</v>
      </c>
    </row>
    <row r="5" spans="1:4" x14ac:dyDescent="0.25">
      <c r="A5" s="4" t="s">
        <v>9</v>
      </c>
      <c r="B5" s="4" t="s">
        <v>161</v>
      </c>
      <c r="C5" s="4" t="s">
        <v>93</v>
      </c>
      <c r="D5" s="14">
        <f t="shared" si="0"/>
        <v>1</v>
      </c>
    </row>
    <row r="6" spans="1:4" x14ac:dyDescent="0.25">
      <c r="A6" s="4" t="s">
        <v>41</v>
      </c>
      <c r="B6" s="4" t="s">
        <v>22</v>
      </c>
      <c r="C6" s="4" t="s">
        <v>94</v>
      </c>
      <c r="D6" s="14">
        <f t="shared" si="0"/>
        <v>2</v>
      </c>
    </row>
    <row r="7" spans="1:4" ht="13.15" customHeight="1" x14ac:dyDescent="0.25">
      <c r="A7" s="4" t="s">
        <v>34</v>
      </c>
      <c r="B7" s="4" t="s">
        <v>39</v>
      </c>
      <c r="C7" s="4" t="s">
        <v>94</v>
      </c>
      <c r="D7" s="14">
        <f t="shared" si="0"/>
        <v>2</v>
      </c>
    </row>
    <row r="8" spans="1:4" x14ac:dyDescent="0.25">
      <c r="A8" s="4" t="s">
        <v>40</v>
      </c>
      <c r="B8" s="4" t="s">
        <v>20</v>
      </c>
      <c r="C8" s="4" t="s">
        <v>94</v>
      </c>
      <c r="D8" s="14">
        <f t="shared" si="0"/>
        <v>2</v>
      </c>
    </row>
    <row r="9" spans="1:4" x14ac:dyDescent="0.25">
      <c r="A9" s="4" t="s">
        <v>185</v>
      </c>
      <c r="B9" s="4" t="s">
        <v>171</v>
      </c>
      <c r="C9" s="4" t="s">
        <v>94</v>
      </c>
      <c r="D9" s="14">
        <f t="shared" si="0"/>
        <v>2</v>
      </c>
    </row>
    <row r="10" spans="1:4" x14ac:dyDescent="0.25">
      <c r="A10" s="4" t="s">
        <v>133</v>
      </c>
      <c r="B10" s="4" t="s">
        <v>86</v>
      </c>
      <c r="C10" s="4" t="s">
        <v>94</v>
      </c>
      <c r="D10" s="14">
        <f t="shared" si="0"/>
        <v>2</v>
      </c>
    </row>
    <row r="11" spans="1:4" x14ac:dyDescent="0.25">
      <c r="A11" s="4" t="s">
        <v>83</v>
      </c>
      <c r="B11" s="4" t="s">
        <v>20</v>
      </c>
      <c r="C11" s="4" t="s">
        <v>94</v>
      </c>
      <c r="D11" s="14">
        <f t="shared" si="0"/>
        <v>2</v>
      </c>
    </row>
    <row r="12" spans="1:4" x14ac:dyDescent="0.25">
      <c r="A12" s="4" t="s">
        <v>324</v>
      </c>
      <c r="B12" s="4" t="s">
        <v>325</v>
      </c>
      <c r="C12" s="4" t="s">
        <v>94</v>
      </c>
      <c r="D12" s="14">
        <f t="shared" si="0"/>
        <v>2</v>
      </c>
    </row>
    <row r="13" spans="1:4" x14ac:dyDescent="0.25">
      <c r="A13" s="4" t="s">
        <v>363</v>
      </c>
      <c r="B13" s="4" t="s">
        <v>20</v>
      </c>
      <c r="C13" s="4" t="s">
        <v>94</v>
      </c>
      <c r="D13" s="14">
        <f t="shared" si="0"/>
        <v>2</v>
      </c>
    </row>
    <row r="14" spans="1:4" x14ac:dyDescent="0.25">
      <c r="A14" s="4" t="s">
        <v>411</v>
      </c>
      <c r="B14" s="4" t="s">
        <v>256</v>
      </c>
      <c r="C14" s="4" t="s">
        <v>94</v>
      </c>
      <c r="D14" s="14">
        <f t="shared" si="0"/>
        <v>2</v>
      </c>
    </row>
    <row r="15" spans="1:4" x14ac:dyDescent="0.25">
      <c r="A15" s="4" t="s">
        <v>96</v>
      </c>
      <c r="B15" s="4" t="s">
        <v>118</v>
      </c>
      <c r="C15" s="4" t="s">
        <v>95</v>
      </c>
      <c r="D15" s="14">
        <f t="shared" si="0"/>
        <v>3</v>
      </c>
    </row>
    <row r="16" spans="1:4" x14ac:dyDescent="0.25">
      <c r="A16" s="4" t="s">
        <v>97</v>
      </c>
      <c r="B16" s="4" t="s">
        <v>129</v>
      </c>
      <c r="C16" s="4" t="s">
        <v>95</v>
      </c>
      <c r="D16" s="14">
        <f t="shared" si="0"/>
        <v>3</v>
      </c>
    </row>
    <row r="17" spans="1:4" x14ac:dyDescent="0.25">
      <c r="A17" s="4" t="s">
        <v>85</v>
      </c>
      <c r="B17" s="4" t="s">
        <v>86</v>
      </c>
      <c r="C17" s="4" t="s">
        <v>95</v>
      </c>
      <c r="D17" s="14">
        <f t="shared" si="0"/>
        <v>3</v>
      </c>
    </row>
    <row r="18" spans="1:4" x14ac:dyDescent="0.25">
      <c r="A18" s="4" t="s">
        <v>91</v>
      </c>
      <c r="B18" s="4" t="s">
        <v>20</v>
      </c>
      <c r="C18" s="4" t="s">
        <v>95</v>
      </c>
      <c r="D18" s="14">
        <f t="shared" si="0"/>
        <v>3</v>
      </c>
    </row>
    <row r="19" spans="1:4" x14ac:dyDescent="0.25">
      <c r="A19" s="4" t="s">
        <v>183</v>
      </c>
      <c r="B19" s="4" t="s">
        <v>129</v>
      </c>
      <c r="C19" s="4" t="s">
        <v>95</v>
      </c>
      <c r="D19" s="14">
        <f t="shared" si="0"/>
        <v>3</v>
      </c>
    </row>
    <row r="20" spans="1:4" x14ac:dyDescent="0.25">
      <c r="A20" s="4" t="s">
        <v>224</v>
      </c>
      <c r="B20" s="4" t="s">
        <v>225</v>
      </c>
      <c r="C20" s="4" t="s">
        <v>95</v>
      </c>
      <c r="D20" s="14">
        <f t="shared" si="0"/>
        <v>3</v>
      </c>
    </row>
    <row r="21" spans="1:4" x14ac:dyDescent="0.25">
      <c r="A21" s="4" t="s">
        <v>84</v>
      </c>
      <c r="B21" s="4" t="s">
        <v>39</v>
      </c>
      <c r="C21" s="4" t="s">
        <v>116</v>
      </c>
      <c r="D21" s="14">
        <f t="shared" si="0"/>
        <v>4</v>
      </c>
    </row>
    <row r="22" spans="1:4" x14ac:dyDescent="0.25">
      <c r="A22" s="4" t="s">
        <v>92</v>
      </c>
      <c r="B22" s="4" t="s">
        <v>87</v>
      </c>
      <c r="C22" s="4" t="s">
        <v>116</v>
      </c>
      <c r="D22" s="14">
        <f t="shared" si="0"/>
        <v>4</v>
      </c>
    </row>
    <row r="23" spans="1:4" x14ac:dyDescent="0.25">
      <c r="A23" s="4" t="s">
        <v>90</v>
      </c>
      <c r="B23" s="4" t="s">
        <v>86</v>
      </c>
      <c r="C23" s="4" t="s">
        <v>116</v>
      </c>
      <c r="D23" s="14">
        <f t="shared" si="0"/>
        <v>4</v>
      </c>
    </row>
    <row r="24" spans="1:4" x14ac:dyDescent="0.25">
      <c r="A24" s="4" t="s">
        <v>81</v>
      </c>
      <c r="B24" s="4" t="s">
        <v>86</v>
      </c>
      <c r="C24" s="4" t="s">
        <v>116</v>
      </c>
      <c r="D24" s="14">
        <f t="shared" si="0"/>
        <v>4</v>
      </c>
    </row>
    <row r="25" spans="1:4" x14ac:dyDescent="0.25">
      <c r="A25" s="4" t="s">
        <v>89</v>
      </c>
      <c r="B25" s="4" t="s">
        <v>86</v>
      </c>
      <c r="C25" s="4" t="s">
        <v>116</v>
      </c>
      <c r="D25" s="14">
        <f t="shared" si="0"/>
        <v>4</v>
      </c>
    </row>
    <row r="26" spans="1:4" x14ac:dyDescent="0.25">
      <c r="A26" s="4" t="s">
        <v>88</v>
      </c>
      <c r="B26" s="4" t="s">
        <v>87</v>
      </c>
      <c r="C26" s="4" t="s">
        <v>116</v>
      </c>
      <c r="D26" s="14">
        <f t="shared" si="0"/>
        <v>4</v>
      </c>
    </row>
    <row r="27" spans="1:4" x14ac:dyDescent="0.25">
      <c r="A27" s="4" t="s">
        <v>184</v>
      </c>
      <c r="B27" s="4" t="s">
        <v>162</v>
      </c>
      <c r="C27" s="4" t="s">
        <v>116</v>
      </c>
      <c r="D27" s="14">
        <f t="shared" si="0"/>
        <v>4</v>
      </c>
    </row>
    <row r="28" spans="1:4" x14ac:dyDescent="0.25">
      <c r="A28" s="4" t="s">
        <v>255</v>
      </c>
      <c r="B28" s="4" t="s">
        <v>256</v>
      </c>
      <c r="C28" s="4" t="s">
        <v>116</v>
      </c>
      <c r="D28" s="14">
        <f t="shared" si="0"/>
        <v>4</v>
      </c>
    </row>
    <row r="29" spans="1:4" x14ac:dyDescent="0.25">
      <c r="A29" s="4" t="s">
        <v>424</v>
      </c>
      <c r="B29" s="4" t="s">
        <v>256</v>
      </c>
      <c r="C29" s="4" t="s">
        <v>95</v>
      </c>
      <c r="D29" s="14">
        <f t="shared" si="0"/>
        <v>3</v>
      </c>
    </row>
    <row r="30" spans="1:4" x14ac:dyDescent="0.25">
      <c r="A30" s="4" t="s">
        <v>425</v>
      </c>
      <c r="B30" s="4" t="s">
        <v>256</v>
      </c>
      <c r="C30" s="4" t="s">
        <v>116</v>
      </c>
      <c r="D30" s="14">
        <f t="shared" si="0"/>
        <v>4</v>
      </c>
    </row>
    <row r="31" spans="1:4" x14ac:dyDescent="0.25">
      <c r="D31" s="14"/>
    </row>
    <row r="32" spans="1:4" x14ac:dyDescent="0.25">
      <c r="D32" s="14"/>
    </row>
    <row r="33" spans="4:4" x14ac:dyDescent="0.25">
      <c r="D33" s="14"/>
    </row>
    <row r="34" spans="4:4" x14ac:dyDescent="0.25">
      <c r="D34" s="14"/>
    </row>
    <row r="35" spans="4:4" x14ac:dyDescent="0.25">
      <c r="D35" s="14"/>
    </row>
    <row r="36" spans="4:4" x14ac:dyDescent="0.25">
      <c r="D36" s="14"/>
    </row>
    <row r="37" spans="4:4" x14ac:dyDescent="0.25">
      <c r="D37" s="14"/>
    </row>
  </sheetData>
  <autoFilter ref="A1:D18" xr:uid="{00000000-0009-0000-0000-000001000000}">
    <sortState xmlns:xlrd2="http://schemas.microsoft.com/office/spreadsheetml/2017/richdata2" ref="A2:D28">
      <sortCondition ref="D1:D18"/>
    </sortState>
  </autoFilter>
  <conditionalFormatting sqref="C1:C1048576">
    <cfRule type="containsText" dxfId="4" priority="1" operator="containsText" text="S">
      <formula>NOT(ISERROR(SEARCH("S",C1)))</formula>
    </cfRule>
    <cfRule type="containsText" dxfId="3" priority="2" operator="containsText" text="A">
      <formula>NOT(ISERROR(SEARCH("A",C1)))</formula>
    </cfRule>
    <cfRule type="containsText" dxfId="2" priority="3" operator="containsText" text="B">
      <formula>NOT(ISERROR(SEARCH("B",C1)))</formula>
    </cfRule>
    <cfRule type="containsText" dxfId="1" priority="4" operator="containsText" text="C">
      <formula>NOT(ISERROR(SEARCH("C",C1)))</formula>
    </cfRule>
    <cfRule type="containsText" dxfId="0" priority="5" operator="containsText" text="Z">
      <formula>NOT(ISERROR(SEARCH("Z",C1)))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"/>
  <sheetViews>
    <sheetView workbookViewId="0">
      <selection activeCell="N8" sqref="N8"/>
    </sheetView>
  </sheetViews>
  <sheetFormatPr baseColWidth="10" defaultRowHeight="15" x14ac:dyDescent="0.25"/>
  <cols>
    <col min="1" max="1" width="24.7109375" style="4" bestFit="1" customWidth="1"/>
    <col min="2" max="2" width="15.7109375" style="4" bestFit="1" customWidth="1"/>
  </cols>
  <sheetData>
    <row r="1" spans="1:2" ht="15" customHeight="1" thickBot="1" x14ac:dyDescent="0.3">
      <c r="A1" s="10" t="s">
        <v>6</v>
      </c>
      <c r="B1" s="10" t="s">
        <v>33</v>
      </c>
    </row>
    <row r="2" spans="1:2" x14ac:dyDescent="0.25">
      <c r="A2" s="4" t="s">
        <v>274</v>
      </c>
      <c r="B2" s="4">
        <v>3172</v>
      </c>
    </row>
    <row r="3" spans="1:2" x14ac:dyDescent="0.25">
      <c r="A3" s="4" t="s">
        <v>275</v>
      </c>
      <c r="B3" s="4">
        <v>3045</v>
      </c>
    </row>
    <row r="4" spans="1:2" x14ac:dyDescent="0.25">
      <c r="A4" s="4" t="s">
        <v>276</v>
      </c>
      <c r="B4" s="4">
        <v>2789</v>
      </c>
    </row>
    <row r="5" spans="1:2" x14ac:dyDescent="0.25">
      <c r="A5" s="4" t="s">
        <v>277</v>
      </c>
      <c r="B5" s="4">
        <v>2685</v>
      </c>
    </row>
    <row r="6" spans="1:2" x14ac:dyDescent="0.25">
      <c r="A6" s="4" t="s">
        <v>278</v>
      </c>
      <c r="B6" s="4">
        <v>2663</v>
      </c>
    </row>
    <row r="7" spans="1:2" x14ac:dyDescent="0.25">
      <c r="A7" s="4" t="s">
        <v>279</v>
      </c>
      <c r="B7" s="4">
        <v>2662</v>
      </c>
    </row>
    <row r="8" spans="1:2" x14ac:dyDescent="0.25">
      <c r="A8" s="4" t="s">
        <v>132</v>
      </c>
      <c r="B8" s="4">
        <v>2525</v>
      </c>
    </row>
    <row r="9" spans="1:2" x14ac:dyDescent="0.25">
      <c r="A9" s="4" t="s">
        <v>280</v>
      </c>
      <c r="B9" s="4">
        <v>2459</v>
      </c>
    </row>
    <row r="10" spans="1:2" x14ac:dyDescent="0.25">
      <c r="A10" s="4" t="s">
        <v>281</v>
      </c>
      <c r="B10" s="4">
        <v>2432</v>
      </c>
    </row>
    <row r="11" spans="1:2" x14ac:dyDescent="0.25">
      <c r="A11" s="4" t="s">
        <v>295</v>
      </c>
      <c r="B11" s="4">
        <v>2338</v>
      </c>
    </row>
    <row r="12" spans="1:2" x14ac:dyDescent="0.25">
      <c r="A12" s="4" t="s">
        <v>306</v>
      </c>
      <c r="B12" s="4">
        <v>2284</v>
      </c>
    </row>
    <row r="13" spans="1:2" x14ac:dyDescent="0.25">
      <c r="A13" s="4" t="s">
        <v>302</v>
      </c>
      <c r="B13" s="4">
        <v>2276</v>
      </c>
    </row>
    <row r="14" spans="1:2" x14ac:dyDescent="0.25">
      <c r="A14" s="4" t="s">
        <v>307</v>
      </c>
      <c r="B14" s="4">
        <v>2222</v>
      </c>
    </row>
    <row r="15" spans="1:2" x14ac:dyDescent="0.25">
      <c r="A15" s="4" t="s">
        <v>296</v>
      </c>
      <c r="B15" s="4">
        <v>2219</v>
      </c>
    </row>
    <row r="16" spans="1:2" x14ac:dyDescent="0.25">
      <c r="A16" s="4" t="s">
        <v>297</v>
      </c>
      <c r="B16" s="4">
        <v>2175</v>
      </c>
    </row>
    <row r="17" spans="1:2" x14ac:dyDescent="0.25">
      <c r="A17" s="4" t="s">
        <v>308</v>
      </c>
      <c r="B17" s="4">
        <v>2156</v>
      </c>
    </row>
    <row r="18" spans="1:2" x14ac:dyDescent="0.25">
      <c r="A18" s="4" t="s">
        <v>298</v>
      </c>
      <c r="B18" s="4">
        <v>2080</v>
      </c>
    </row>
    <row r="19" spans="1:2" x14ac:dyDescent="0.25">
      <c r="A19" s="4" t="s">
        <v>303</v>
      </c>
      <c r="B19" s="4">
        <v>2051</v>
      </c>
    </row>
    <row r="20" spans="1:2" x14ac:dyDescent="0.25">
      <c r="A20" s="4" t="s">
        <v>309</v>
      </c>
      <c r="B20" s="4">
        <v>2049</v>
      </c>
    </row>
    <row r="21" spans="1:2" x14ac:dyDescent="0.25">
      <c r="A21" s="4" t="s">
        <v>191</v>
      </c>
      <c r="B21" s="4">
        <v>2037</v>
      </c>
    </row>
    <row r="22" spans="1:2" x14ac:dyDescent="0.25">
      <c r="A22" s="4" t="s">
        <v>299</v>
      </c>
      <c r="B22" s="4">
        <v>1992</v>
      </c>
    </row>
    <row r="23" spans="1:2" x14ac:dyDescent="0.25">
      <c r="A23" s="4" t="s">
        <v>300</v>
      </c>
      <c r="B23" s="4">
        <v>1976</v>
      </c>
    </row>
    <row r="24" spans="1:2" x14ac:dyDescent="0.25">
      <c r="A24" s="4" t="s">
        <v>305</v>
      </c>
      <c r="B24" s="4">
        <v>1966</v>
      </c>
    </row>
    <row r="25" spans="1:2" x14ac:dyDescent="0.25">
      <c r="A25" s="4" t="s">
        <v>363</v>
      </c>
      <c r="B25" s="4">
        <v>1959</v>
      </c>
    </row>
    <row r="26" spans="1:2" x14ac:dyDescent="0.25">
      <c r="A26" s="4" t="s">
        <v>304</v>
      </c>
      <c r="B26" s="4">
        <v>1930</v>
      </c>
    </row>
    <row r="27" spans="1:2" x14ac:dyDescent="0.25">
      <c r="A27" s="4" t="s">
        <v>236</v>
      </c>
      <c r="B27" s="4">
        <v>1920</v>
      </c>
    </row>
    <row r="28" spans="1:2" x14ac:dyDescent="0.25">
      <c r="A28" s="4" t="s">
        <v>310</v>
      </c>
      <c r="B28" s="4">
        <v>1901</v>
      </c>
    </row>
    <row r="29" spans="1:2" x14ac:dyDescent="0.25">
      <c r="A29" s="4" t="s">
        <v>301</v>
      </c>
      <c r="B29" s="4">
        <v>1850</v>
      </c>
    </row>
    <row r="30" spans="1:2" x14ac:dyDescent="0.25">
      <c r="A30" s="4" t="s">
        <v>415</v>
      </c>
      <c r="B30" s="4">
        <v>1844</v>
      </c>
    </row>
    <row r="31" spans="1:2" x14ac:dyDescent="0.25">
      <c r="A31" s="4" t="s">
        <v>416</v>
      </c>
      <c r="B31" s="4">
        <v>1838</v>
      </c>
    </row>
    <row r="32" spans="1:2" x14ac:dyDescent="0.25">
      <c r="A32" s="4" t="s">
        <v>311</v>
      </c>
      <c r="B32" s="4">
        <v>1821</v>
      </c>
    </row>
    <row r="33" spans="1:2" x14ac:dyDescent="0.25">
      <c r="A33" s="4" t="s">
        <v>282</v>
      </c>
      <c r="B33" s="4">
        <v>1811</v>
      </c>
    </row>
    <row r="34" spans="1:2" x14ac:dyDescent="0.25">
      <c r="A34" s="4" t="s">
        <v>414</v>
      </c>
      <c r="B34" s="4">
        <v>1776</v>
      </c>
    </row>
    <row r="35" spans="1:2" x14ac:dyDescent="0.25">
      <c r="A35" s="4" t="s">
        <v>413</v>
      </c>
      <c r="B35" s="4">
        <v>1771</v>
      </c>
    </row>
    <row r="36" spans="1:2" x14ac:dyDescent="0.25">
      <c r="A36" s="4" t="s">
        <v>283</v>
      </c>
      <c r="B36" s="4">
        <v>1699</v>
      </c>
    </row>
    <row r="37" spans="1:2" x14ac:dyDescent="0.25">
      <c r="A37" s="4" t="s">
        <v>130</v>
      </c>
      <c r="B37" s="4">
        <v>1635</v>
      </c>
    </row>
    <row r="38" spans="1:2" x14ac:dyDescent="0.25">
      <c r="A38" s="4" t="s">
        <v>312</v>
      </c>
      <c r="B38" s="4">
        <v>1597</v>
      </c>
    </row>
    <row r="39" spans="1:2" x14ac:dyDescent="0.25">
      <c r="A39" s="4" t="s">
        <v>131</v>
      </c>
      <c r="B39" s="4">
        <v>1570</v>
      </c>
    </row>
    <row r="40" spans="1:2" x14ac:dyDescent="0.25">
      <c r="A40" s="4" t="s">
        <v>284</v>
      </c>
      <c r="B40" s="4">
        <v>1566</v>
      </c>
    </row>
    <row r="41" spans="1:2" x14ac:dyDescent="0.25">
      <c r="A41" s="4" t="s">
        <v>285</v>
      </c>
      <c r="B41" s="4">
        <v>1548</v>
      </c>
    </row>
    <row r="42" spans="1:2" x14ac:dyDescent="0.25">
      <c r="A42" s="4" t="s">
        <v>323</v>
      </c>
      <c r="B42" s="4">
        <v>1534</v>
      </c>
    </row>
    <row r="43" spans="1:2" x14ac:dyDescent="0.25">
      <c r="A43" s="4" t="s">
        <v>393</v>
      </c>
      <c r="B43" s="4">
        <v>1534</v>
      </c>
    </row>
    <row r="44" spans="1:2" x14ac:dyDescent="0.25">
      <c r="A44" s="4" t="s">
        <v>313</v>
      </c>
      <c r="B44" s="4">
        <v>1435</v>
      </c>
    </row>
    <row r="45" spans="1:2" x14ac:dyDescent="0.25">
      <c r="A45" s="4" t="s">
        <v>315</v>
      </c>
      <c r="B45" s="4">
        <v>1432</v>
      </c>
    </row>
    <row r="46" spans="1:2" x14ac:dyDescent="0.25">
      <c r="A46" s="4" t="s">
        <v>410</v>
      </c>
      <c r="B46" s="4">
        <v>1430</v>
      </c>
    </row>
    <row r="47" spans="1:2" x14ac:dyDescent="0.25">
      <c r="A47" s="4" t="s">
        <v>314</v>
      </c>
      <c r="B47" s="4">
        <v>1421</v>
      </c>
    </row>
    <row r="48" spans="1:2" x14ac:dyDescent="0.25">
      <c r="A48" s="4" t="s">
        <v>286</v>
      </c>
      <c r="B48" s="4">
        <v>1413</v>
      </c>
    </row>
    <row r="49" spans="1:2" x14ac:dyDescent="0.25">
      <c r="A49" s="4" t="s">
        <v>409</v>
      </c>
      <c r="B49" s="4">
        <v>1390</v>
      </c>
    </row>
    <row r="50" spans="1:2" x14ac:dyDescent="0.25">
      <c r="A50" s="4" t="s">
        <v>287</v>
      </c>
      <c r="B50" s="4">
        <v>1379</v>
      </c>
    </row>
    <row r="51" spans="1:2" x14ac:dyDescent="0.25">
      <c r="A51" s="4" t="s">
        <v>316</v>
      </c>
      <c r="B51" s="4">
        <v>1365</v>
      </c>
    </row>
    <row r="52" spans="1:2" x14ac:dyDescent="0.25">
      <c r="A52" s="4" t="s">
        <v>317</v>
      </c>
      <c r="B52" s="4">
        <v>1364</v>
      </c>
    </row>
    <row r="53" spans="1:2" x14ac:dyDescent="0.25">
      <c r="A53" s="4" t="s">
        <v>319</v>
      </c>
      <c r="B53" s="4">
        <v>1357</v>
      </c>
    </row>
    <row r="54" spans="1:2" x14ac:dyDescent="0.25">
      <c r="A54" s="4" t="s">
        <v>318</v>
      </c>
      <c r="B54" s="4">
        <v>1342</v>
      </c>
    </row>
    <row r="55" spans="1:2" x14ac:dyDescent="0.25">
      <c r="A55" s="4" t="s">
        <v>381</v>
      </c>
      <c r="B55" s="4">
        <v>1304</v>
      </c>
    </row>
    <row r="56" spans="1:2" x14ac:dyDescent="0.25">
      <c r="A56" s="4" t="s">
        <v>284</v>
      </c>
      <c r="B56" s="4">
        <v>1297</v>
      </c>
    </row>
    <row r="57" spans="1:2" x14ac:dyDescent="0.25">
      <c r="A57" s="4" t="s">
        <v>288</v>
      </c>
      <c r="B57" s="4">
        <v>1291</v>
      </c>
    </row>
    <row r="58" spans="1:2" x14ac:dyDescent="0.25">
      <c r="A58" s="4" t="s">
        <v>407</v>
      </c>
      <c r="B58" s="4">
        <v>1213</v>
      </c>
    </row>
    <row r="59" spans="1:2" x14ac:dyDescent="0.25">
      <c r="A59" s="4" t="s">
        <v>408</v>
      </c>
      <c r="B59" s="4">
        <v>1213</v>
      </c>
    </row>
    <row r="60" spans="1:2" x14ac:dyDescent="0.25">
      <c r="A60" s="4" t="s">
        <v>322</v>
      </c>
      <c r="B60" s="4">
        <v>1089</v>
      </c>
    </row>
    <row r="61" spans="1:2" x14ac:dyDescent="0.25">
      <c r="A61" s="4" t="s">
        <v>289</v>
      </c>
      <c r="B61" s="4">
        <v>1050</v>
      </c>
    </row>
    <row r="62" spans="1:2" x14ac:dyDescent="0.25">
      <c r="A62" s="4" t="s">
        <v>412</v>
      </c>
      <c r="B62" s="4">
        <v>1049</v>
      </c>
    </row>
    <row r="63" spans="1:2" x14ac:dyDescent="0.25">
      <c r="A63" s="4" t="s">
        <v>290</v>
      </c>
      <c r="B63" s="4">
        <v>1011</v>
      </c>
    </row>
    <row r="64" spans="1:2" x14ac:dyDescent="0.25">
      <c r="A64" s="4" t="s">
        <v>291</v>
      </c>
      <c r="B64" s="4">
        <v>805</v>
      </c>
    </row>
    <row r="65" spans="1:2" x14ac:dyDescent="0.25">
      <c r="A65" s="4" t="s">
        <v>373</v>
      </c>
      <c r="B65" s="4">
        <v>718</v>
      </c>
    </row>
    <row r="66" spans="1:2" x14ac:dyDescent="0.25">
      <c r="A66" s="4" t="s">
        <v>320</v>
      </c>
      <c r="B66" s="4">
        <v>656</v>
      </c>
    </row>
    <row r="67" spans="1:2" x14ac:dyDescent="0.25">
      <c r="A67" s="4" t="s">
        <v>292</v>
      </c>
      <c r="B67" s="4">
        <v>645</v>
      </c>
    </row>
    <row r="68" spans="1:2" x14ac:dyDescent="0.25">
      <c r="A68" s="4" t="s">
        <v>293</v>
      </c>
      <c r="B68" s="4">
        <v>634</v>
      </c>
    </row>
    <row r="69" spans="1:2" x14ac:dyDescent="0.25">
      <c r="A69" s="4" t="s">
        <v>386</v>
      </c>
      <c r="B69" s="4">
        <v>626</v>
      </c>
    </row>
    <row r="70" spans="1:2" x14ac:dyDescent="0.25">
      <c r="A70" s="4" t="s">
        <v>387</v>
      </c>
      <c r="B70" s="4">
        <v>609</v>
      </c>
    </row>
    <row r="71" spans="1:2" x14ac:dyDescent="0.25">
      <c r="A71" s="4" t="s">
        <v>388</v>
      </c>
      <c r="B71" s="4">
        <v>566</v>
      </c>
    </row>
    <row r="72" spans="1:2" x14ac:dyDescent="0.25">
      <c r="A72" s="4" t="s">
        <v>294</v>
      </c>
      <c r="B72" s="4">
        <v>563</v>
      </c>
    </row>
    <row r="73" spans="1:2" x14ac:dyDescent="0.25">
      <c r="A73" s="4" t="s">
        <v>321</v>
      </c>
      <c r="B73" s="4">
        <v>433</v>
      </c>
    </row>
    <row r="74" spans="1:2" x14ac:dyDescent="0.25">
      <c r="A74" s="4" t="s">
        <v>423</v>
      </c>
      <c r="B74" s="4">
        <v>1761</v>
      </c>
    </row>
  </sheetData>
  <autoFilter ref="A1:B5" xr:uid="{00000000-0009-0000-0000-000002000000}">
    <sortState xmlns:xlrd2="http://schemas.microsoft.com/office/spreadsheetml/2017/richdata2" ref="A2:B73">
      <sortCondition descending="1" ref="B1:B5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6"/>
  <sheetViews>
    <sheetView topLeftCell="A13" workbookViewId="0">
      <selection activeCell="B22" sqref="B22"/>
    </sheetView>
  </sheetViews>
  <sheetFormatPr baseColWidth="10" defaultColWidth="11.5703125" defaultRowHeight="14.25" x14ac:dyDescent="0.2"/>
  <cols>
    <col min="1" max="1" width="7.28515625" style="4" bestFit="1" customWidth="1"/>
    <col min="2" max="2" width="61.7109375" style="6" bestFit="1" customWidth="1"/>
    <col min="3" max="3" width="30.5703125" style="7" customWidth="1"/>
    <col min="4" max="4" width="9.140625" style="5" customWidth="1"/>
    <col min="5" max="5" width="9.140625" style="6" customWidth="1"/>
    <col min="6" max="6" width="9.140625" style="7" customWidth="1"/>
    <col min="7" max="16384" width="11.5703125" style="3"/>
  </cols>
  <sheetData>
    <row r="1" spans="1:6" s="11" customFormat="1" ht="18.75" thickBot="1" x14ac:dyDescent="0.3">
      <c r="A1" s="13" t="s">
        <v>364</v>
      </c>
      <c r="B1" s="40" t="s">
        <v>6</v>
      </c>
      <c r="C1" s="12" t="s">
        <v>8</v>
      </c>
      <c r="D1" s="13" t="s">
        <v>0</v>
      </c>
      <c r="E1" s="39" t="s">
        <v>257</v>
      </c>
      <c r="F1" s="39" t="s">
        <v>258</v>
      </c>
    </row>
    <row r="2" spans="1:6" x14ac:dyDescent="0.2">
      <c r="A2" s="4">
        <v>0</v>
      </c>
      <c r="B2" s="42" t="s">
        <v>400</v>
      </c>
    </row>
    <row r="3" spans="1:6" x14ac:dyDescent="0.2">
      <c r="A3" s="4">
        <v>0</v>
      </c>
      <c r="B3" s="42" t="s">
        <v>401</v>
      </c>
    </row>
    <row r="4" spans="1:6" x14ac:dyDescent="0.2">
      <c r="A4" s="4">
        <v>1</v>
      </c>
      <c r="B4" s="6" t="s">
        <v>272</v>
      </c>
      <c r="C4" s="7" t="s">
        <v>336</v>
      </c>
    </row>
    <row r="5" spans="1:6" x14ac:dyDescent="0.2">
      <c r="A5" s="4">
        <v>1</v>
      </c>
      <c r="B5" s="6" t="s">
        <v>262</v>
      </c>
      <c r="C5" s="7" t="s">
        <v>341</v>
      </c>
    </row>
    <row r="6" spans="1:6" x14ac:dyDescent="0.2">
      <c r="A6" s="4">
        <v>1</v>
      </c>
      <c r="B6" s="6" t="s">
        <v>112</v>
      </c>
      <c r="C6" s="7" t="s">
        <v>113</v>
      </c>
      <c r="D6" s="5">
        <v>220</v>
      </c>
      <c r="E6" s="6">
        <v>14000</v>
      </c>
      <c r="F6" s="7">
        <v>2900</v>
      </c>
    </row>
    <row r="7" spans="1:6" x14ac:dyDescent="0.2">
      <c r="A7" s="4">
        <v>1</v>
      </c>
      <c r="B7" s="6" t="s">
        <v>36</v>
      </c>
      <c r="C7" s="7" t="s">
        <v>361</v>
      </c>
    </row>
    <row r="8" spans="1:6" x14ac:dyDescent="0.2">
      <c r="A8" s="4">
        <v>1</v>
      </c>
      <c r="B8" s="6" t="s">
        <v>239</v>
      </c>
      <c r="C8" s="7" t="s">
        <v>353</v>
      </c>
    </row>
    <row r="9" spans="1:6" x14ac:dyDescent="0.2">
      <c r="A9" s="4">
        <v>1</v>
      </c>
      <c r="B9" s="6" t="s">
        <v>237</v>
      </c>
      <c r="C9" s="7" t="s">
        <v>339</v>
      </c>
    </row>
    <row r="10" spans="1:6" x14ac:dyDescent="0.2">
      <c r="A10" s="4">
        <v>1</v>
      </c>
      <c r="B10" s="6" t="s">
        <v>273</v>
      </c>
      <c r="C10" s="7" t="s">
        <v>346</v>
      </c>
    </row>
    <row r="11" spans="1:6" x14ac:dyDescent="0.2">
      <c r="A11" s="4">
        <v>1</v>
      </c>
      <c r="B11" s="6" t="s">
        <v>246</v>
      </c>
      <c r="C11" s="7" t="s">
        <v>351</v>
      </c>
      <c r="D11" s="5">
        <v>125</v>
      </c>
      <c r="E11" s="6">
        <v>9000</v>
      </c>
      <c r="F11" s="7">
        <v>2500</v>
      </c>
    </row>
    <row r="12" spans="1:6" x14ac:dyDescent="0.2">
      <c r="A12" s="4">
        <v>1</v>
      </c>
      <c r="B12" s="41" t="s">
        <v>395</v>
      </c>
      <c r="C12" s="7" t="s">
        <v>348</v>
      </c>
      <c r="D12" s="5">
        <v>45</v>
      </c>
      <c r="E12" s="6">
        <v>2500</v>
      </c>
      <c r="F12" s="7">
        <v>2300</v>
      </c>
    </row>
    <row r="13" spans="1:6" x14ac:dyDescent="0.2">
      <c r="A13" s="4">
        <v>1</v>
      </c>
      <c r="B13" s="6" t="s">
        <v>110</v>
      </c>
      <c r="C13" s="7" t="s">
        <v>111</v>
      </c>
    </row>
    <row r="14" spans="1:6" x14ac:dyDescent="0.2">
      <c r="A14" s="4">
        <v>1</v>
      </c>
      <c r="B14" s="6" t="s">
        <v>241</v>
      </c>
      <c r="C14" s="7" t="s">
        <v>346</v>
      </c>
    </row>
    <row r="15" spans="1:6" x14ac:dyDescent="0.2">
      <c r="A15" s="4">
        <v>1</v>
      </c>
      <c r="B15" s="41" t="s">
        <v>254</v>
      </c>
      <c r="C15" s="7" t="s">
        <v>336</v>
      </c>
      <c r="D15" s="5">
        <v>35</v>
      </c>
      <c r="E15" s="6">
        <v>2000</v>
      </c>
      <c r="F15" s="7">
        <v>3000</v>
      </c>
    </row>
    <row r="16" spans="1:6" x14ac:dyDescent="0.2">
      <c r="A16" s="4">
        <v>1</v>
      </c>
      <c r="B16" s="41" t="s">
        <v>380</v>
      </c>
      <c r="C16" s="7" t="s">
        <v>348</v>
      </c>
    </row>
    <row r="17" spans="1:6" x14ac:dyDescent="0.2">
      <c r="A17" s="4">
        <v>1</v>
      </c>
      <c r="B17" s="41" t="s">
        <v>335</v>
      </c>
      <c r="C17" s="7" t="s">
        <v>336</v>
      </c>
    </row>
    <row r="18" spans="1:6" x14ac:dyDescent="0.2">
      <c r="A18" s="4">
        <v>1</v>
      </c>
      <c r="B18" s="41" t="s">
        <v>396</v>
      </c>
      <c r="C18" s="7" t="s">
        <v>394</v>
      </c>
    </row>
    <row r="19" spans="1:6" x14ac:dyDescent="0.2">
      <c r="A19" s="4">
        <v>1</v>
      </c>
      <c r="B19" s="41" t="s">
        <v>397</v>
      </c>
      <c r="C19" s="7" t="s">
        <v>394</v>
      </c>
    </row>
    <row r="20" spans="1:6" x14ac:dyDescent="0.2">
      <c r="A20" s="4">
        <v>2</v>
      </c>
      <c r="B20" s="6" t="s">
        <v>267</v>
      </c>
      <c r="C20" s="7" t="s">
        <v>337</v>
      </c>
    </row>
    <row r="21" spans="1:6" x14ac:dyDescent="0.2">
      <c r="A21" s="4">
        <v>2</v>
      </c>
      <c r="B21" s="6" t="s">
        <v>264</v>
      </c>
      <c r="C21" s="7" t="s">
        <v>343</v>
      </c>
    </row>
    <row r="22" spans="1:6" x14ac:dyDescent="0.2">
      <c r="A22" s="4">
        <v>2</v>
      </c>
      <c r="B22" s="6" t="s">
        <v>268</v>
      </c>
      <c r="C22" s="7" t="s">
        <v>345</v>
      </c>
    </row>
    <row r="23" spans="1:6" x14ac:dyDescent="0.2">
      <c r="A23" s="4">
        <v>2</v>
      </c>
      <c r="B23" s="6" t="s">
        <v>263</v>
      </c>
      <c r="C23" s="7" t="s">
        <v>346</v>
      </c>
    </row>
    <row r="24" spans="1:6" x14ac:dyDescent="0.2">
      <c r="A24" s="4">
        <v>2</v>
      </c>
      <c r="B24" s="6" t="s">
        <v>114</v>
      </c>
      <c r="C24" s="7" t="s">
        <v>362</v>
      </c>
    </row>
    <row r="25" spans="1:6" x14ac:dyDescent="0.2">
      <c r="A25" s="4">
        <v>2</v>
      </c>
      <c r="B25" s="6" t="s">
        <v>242</v>
      </c>
      <c r="C25" s="7" t="s">
        <v>345</v>
      </c>
    </row>
    <row r="26" spans="1:6" x14ac:dyDescent="0.2">
      <c r="A26" s="4">
        <v>2</v>
      </c>
      <c r="B26" s="41" t="s">
        <v>238</v>
      </c>
      <c r="C26" s="7" t="s">
        <v>350</v>
      </c>
      <c r="D26" s="5">
        <v>85</v>
      </c>
      <c r="E26" s="6">
        <v>5000</v>
      </c>
      <c r="F26" s="7">
        <v>2000</v>
      </c>
    </row>
    <row r="27" spans="1:6" x14ac:dyDescent="0.2">
      <c r="A27" s="4">
        <v>2</v>
      </c>
      <c r="B27" s="6" t="s">
        <v>119</v>
      </c>
      <c r="C27" s="7" t="s">
        <v>115</v>
      </c>
    </row>
    <row r="28" spans="1:6" x14ac:dyDescent="0.2">
      <c r="A28" s="4">
        <v>2</v>
      </c>
      <c r="B28" s="41" t="s">
        <v>194</v>
      </c>
      <c r="C28" s="7" t="s">
        <v>354</v>
      </c>
      <c r="F28" s="7">
        <v>2000</v>
      </c>
    </row>
    <row r="29" spans="1:6" x14ac:dyDescent="0.2">
      <c r="A29" s="4">
        <v>2</v>
      </c>
      <c r="B29" s="41" t="s">
        <v>259</v>
      </c>
      <c r="C29" s="7" t="s">
        <v>355</v>
      </c>
      <c r="D29" s="5">
        <v>90</v>
      </c>
      <c r="E29" s="6">
        <v>5000</v>
      </c>
      <c r="F29" s="7">
        <v>2300</v>
      </c>
    </row>
    <row r="30" spans="1:6" x14ac:dyDescent="0.2">
      <c r="A30" s="4">
        <v>2</v>
      </c>
      <c r="B30" s="6" t="s">
        <v>356</v>
      </c>
      <c r="C30" s="7" t="s">
        <v>357</v>
      </c>
    </row>
    <row r="31" spans="1:6" x14ac:dyDescent="0.2">
      <c r="A31" s="4">
        <v>2</v>
      </c>
      <c r="B31" s="6" t="s">
        <v>358</v>
      </c>
      <c r="C31" s="7" t="s">
        <v>360</v>
      </c>
    </row>
    <row r="32" spans="1:6" x14ac:dyDescent="0.2">
      <c r="A32" s="4">
        <v>2</v>
      </c>
      <c r="B32" s="6" t="s">
        <v>359</v>
      </c>
      <c r="C32" s="7" t="s">
        <v>360</v>
      </c>
    </row>
    <row r="33" spans="1:3" x14ac:dyDescent="0.2">
      <c r="A33" s="4">
        <v>2</v>
      </c>
      <c r="B33" s="6" t="s">
        <v>389</v>
      </c>
      <c r="C33" s="7" t="s">
        <v>341</v>
      </c>
    </row>
    <row r="34" spans="1:3" x14ac:dyDescent="0.2">
      <c r="A34" s="4">
        <v>2</v>
      </c>
      <c r="B34" s="41" t="s">
        <v>398</v>
      </c>
      <c r="C34" s="7" t="s">
        <v>399</v>
      </c>
    </row>
    <row r="35" spans="1:3" x14ac:dyDescent="0.2">
      <c r="A35" s="4">
        <v>3</v>
      </c>
      <c r="B35" s="6" t="s">
        <v>269</v>
      </c>
      <c r="C35" s="7" t="s">
        <v>338</v>
      </c>
    </row>
    <row r="36" spans="1:3" x14ac:dyDescent="0.2">
      <c r="A36" s="4">
        <v>3</v>
      </c>
      <c r="B36" s="6" t="s">
        <v>270</v>
      </c>
      <c r="C36" s="7" t="s">
        <v>339</v>
      </c>
    </row>
    <row r="37" spans="1:3" x14ac:dyDescent="0.2">
      <c r="A37" s="4">
        <v>3</v>
      </c>
      <c r="B37" s="6" t="s">
        <v>266</v>
      </c>
      <c r="C37" s="7" t="s">
        <v>340</v>
      </c>
    </row>
    <row r="38" spans="1:3" x14ac:dyDescent="0.2">
      <c r="A38" s="4">
        <v>3</v>
      </c>
      <c r="B38" s="6" t="s">
        <v>271</v>
      </c>
      <c r="C38" s="7" t="s">
        <v>342</v>
      </c>
    </row>
    <row r="39" spans="1:3" x14ac:dyDescent="0.2">
      <c r="A39" s="4">
        <v>3</v>
      </c>
      <c r="B39" s="6" t="s">
        <v>265</v>
      </c>
      <c r="C39" s="7" t="s">
        <v>344</v>
      </c>
    </row>
    <row r="40" spans="1:3" x14ac:dyDescent="0.2">
      <c r="A40" s="4">
        <v>3</v>
      </c>
      <c r="B40" s="6" t="s">
        <v>149</v>
      </c>
      <c r="C40" s="7" t="s">
        <v>150</v>
      </c>
    </row>
    <row r="41" spans="1:3" x14ac:dyDescent="0.2">
      <c r="A41" s="4">
        <v>3</v>
      </c>
      <c r="B41" s="6" t="s">
        <v>245</v>
      </c>
      <c r="C41" s="7" t="s">
        <v>352</v>
      </c>
    </row>
    <row r="42" spans="1:3" x14ac:dyDescent="0.2">
      <c r="A42" s="4">
        <v>3</v>
      </c>
      <c r="B42" s="6" t="s">
        <v>243</v>
      </c>
      <c r="C42" s="7" t="s">
        <v>338</v>
      </c>
    </row>
    <row r="43" spans="1:3" x14ac:dyDescent="0.2">
      <c r="A43" s="4">
        <v>3</v>
      </c>
      <c r="B43" s="6" t="s">
        <v>244</v>
      </c>
      <c r="C43" s="7" t="s">
        <v>349</v>
      </c>
    </row>
    <row r="44" spans="1:3" x14ac:dyDescent="0.2">
      <c r="A44" s="4">
        <v>3</v>
      </c>
      <c r="B44" s="6" t="s">
        <v>231</v>
      </c>
      <c r="C44" s="7" t="s">
        <v>113</v>
      </c>
    </row>
    <row r="45" spans="1:3" x14ac:dyDescent="0.2">
      <c r="A45" s="4">
        <v>3</v>
      </c>
      <c r="B45" s="6" t="s">
        <v>240</v>
      </c>
      <c r="C45" s="7" t="s">
        <v>347</v>
      </c>
    </row>
    <row r="46" spans="1:3" x14ac:dyDescent="0.2">
      <c r="A46" s="4">
        <v>3</v>
      </c>
      <c r="B46" s="6" t="s">
        <v>334</v>
      </c>
      <c r="C46" s="7" t="s">
        <v>113</v>
      </c>
    </row>
  </sheetData>
  <autoFilter ref="A1:F41" xr:uid="{00000000-0009-0000-0000-000003000000}">
    <sortState xmlns:xlrd2="http://schemas.microsoft.com/office/spreadsheetml/2017/richdata2" ref="A2:F50">
      <sortCondition ref="A1:A4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Randonnées</vt:lpstr>
      <vt:lpstr>Plus beaux endroits</vt:lpstr>
      <vt:lpstr>Sommets</vt:lpstr>
      <vt:lpstr>Wish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2025-05-05T08:07:48Z</dcterms:modified>
</cp:coreProperties>
</file>